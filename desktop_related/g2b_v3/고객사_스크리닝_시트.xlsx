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kdwl\Desktop\"/>
    </mc:Choice>
  </mc:AlternateContent>
  <xr:revisionPtr revIDLastSave="0" documentId="13_ncr:1_{CEC22E73-23F8-40D1-B902-82920D2A316B}" xr6:coauthVersionLast="47" xr6:coauthVersionMax="47" xr10:uidLastSave="{00000000-0000-0000-0000-000000000000}"/>
  <bookViews>
    <workbookView xWindow="60" yWindow="8055" windowWidth="33345" windowHeight="19725" tabRatio="500" xr2:uid="{00000000-000D-0000-FFFF-FFFF00000000}"/>
  </bookViews>
  <sheets>
    <sheet name="고객사 스크리닝" sheetId="1" r:id="rId1"/>
    <sheet name="업종별 전략카드" sheetId="2" r:id="rId2"/>
    <sheet name="지역분석 템플릿" sheetId="3" r:id="rId3"/>
    <sheet name="작성 가이드" sheetId="4" r:id="rId4"/>
  </sheets>
  <definedNames>
    <definedName name="_xlnm._FilterDatabase" localSheetId="0" hidden="1">'고객사 스크리닝'!$A$4:$Z$54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3" i="3" l="1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Y54" i="1"/>
  <c r="X54" i="1"/>
  <c r="W54" i="1"/>
  <c r="V54" i="1"/>
  <c r="Y53" i="1"/>
  <c r="X53" i="1"/>
  <c r="W53" i="1"/>
  <c r="V53" i="1"/>
  <c r="Y52" i="1"/>
  <c r="X52" i="1"/>
  <c r="W52" i="1"/>
  <c r="V52" i="1"/>
  <c r="Y51" i="1"/>
  <c r="X51" i="1"/>
  <c r="W51" i="1"/>
  <c r="V51" i="1"/>
  <c r="Y50" i="1"/>
  <c r="X50" i="1"/>
  <c r="W50" i="1"/>
  <c r="V50" i="1"/>
  <c r="Y49" i="1"/>
  <c r="X49" i="1"/>
  <c r="W49" i="1"/>
  <c r="V49" i="1"/>
  <c r="Y48" i="1"/>
  <c r="X48" i="1"/>
  <c r="W48" i="1"/>
  <c r="V48" i="1"/>
  <c r="Y47" i="1"/>
  <c r="X47" i="1"/>
  <c r="W47" i="1"/>
  <c r="V47" i="1"/>
  <c r="Y46" i="1"/>
  <c r="X46" i="1"/>
  <c r="W46" i="1"/>
  <c r="V46" i="1"/>
  <c r="Y45" i="1"/>
  <c r="X45" i="1"/>
  <c r="W45" i="1"/>
  <c r="V45" i="1"/>
  <c r="Y44" i="1"/>
  <c r="X44" i="1"/>
  <c r="W44" i="1"/>
  <c r="V44" i="1"/>
  <c r="Y43" i="1"/>
  <c r="X43" i="1"/>
  <c r="W43" i="1"/>
  <c r="V43" i="1"/>
  <c r="Y42" i="1"/>
  <c r="X42" i="1"/>
  <c r="W42" i="1"/>
  <c r="V42" i="1"/>
  <c r="Y41" i="1"/>
  <c r="X41" i="1"/>
  <c r="W41" i="1"/>
  <c r="V41" i="1"/>
  <c r="Y40" i="1"/>
  <c r="X40" i="1"/>
  <c r="W40" i="1"/>
  <c r="V40" i="1"/>
  <c r="Y39" i="1"/>
  <c r="X39" i="1"/>
  <c r="W39" i="1"/>
  <c r="V39" i="1"/>
  <c r="Y38" i="1"/>
  <c r="X38" i="1"/>
  <c r="W38" i="1"/>
  <c r="V38" i="1"/>
  <c r="Y37" i="1"/>
  <c r="X37" i="1"/>
  <c r="W37" i="1"/>
  <c r="V37" i="1"/>
  <c r="Y36" i="1"/>
  <c r="X36" i="1"/>
  <c r="W36" i="1"/>
  <c r="V36" i="1"/>
  <c r="Y35" i="1"/>
  <c r="X35" i="1"/>
  <c r="W35" i="1"/>
  <c r="V35" i="1"/>
  <c r="Y34" i="1"/>
  <c r="X34" i="1"/>
  <c r="W34" i="1"/>
  <c r="V34" i="1"/>
  <c r="Y33" i="1"/>
  <c r="X33" i="1"/>
  <c r="W33" i="1"/>
  <c r="V33" i="1"/>
  <c r="Y32" i="1"/>
  <c r="X32" i="1"/>
  <c r="W32" i="1"/>
  <c r="V32" i="1"/>
  <c r="Y31" i="1"/>
  <c r="X31" i="1"/>
  <c r="W31" i="1"/>
  <c r="V31" i="1"/>
  <c r="Y30" i="1"/>
  <c r="X30" i="1"/>
  <c r="W30" i="1"/>
  <c r="V30" i="1"/>
  <c r="Y29" i="1"/>
  <c r="X29" i="1"/>
  <c r="W29" i="1"/>
  <c r="V29" i="1"/>
  <c r="Y28" i="1"/>
  <c r="X28" i="1"/>
  <c r="W28" i="1"/>
  <c r="V28" i="1"/>
  <c r="Y27" i="1"/>
  <c r="X27" i="1"/>
  <c r="W27" i="1"/>
  <c r="V27" i="1"/>
  <c r="Y26" i="1"/>
  <c r="X26" i="1"/>
  <c r="W26" i="1"/>
  <c r="V26" i="1"/>
  <c r="Y25" i="1"/>
  <c r="X25" i="1"/>
  <c r="W25" i="1"/>
  <c r="V25" i="1"/>
  <c r="Y24" i="1"/>
  <c r="X24" i="1"/>
  <c r="W24" i="1"/>
  <c r="V24" i="1"/>
  <c r="Y23" i="1"/>
  <c r="X23" i="1"/>
  <c r="W23" i="1"/>
  <c r="V23" i="1"/>
  <c r="Y22" i="1"/>
  <c r="X22" i="1"/>
  <c r="W22" i="1"/>
  <c r="V22" i="1"/>
  <c r="Y21" i="1"/>
  <c r="X21" i="1"/>
  <c r="W21" i="1"/>
  <c r="V21" i="1"/>
  <c r="Y20" i="1"/>
  <c r="X20" i="1"/>
  <c r="W20" i="1"/>
  <c r="V20" i="1"/>
  <c r="Y19" i="1"/>
  <c r="X19" i="1"/>
  <c r="W19" i="1"/>
  <c r="V19" i="1"/>
  <c r="Y18" i="1"/>
  <c r="X18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X17" i="1" l="1"/>
  <c r="Y17" i="1" s="1"/>
  <c r="X16" i="1"/>
  <c r="Y16" i="1" s="1"/>
  <c r="X15" i="1"/>
  <c r="Y15" i="1" s="1"/>
  <c r="X14" i="1"/>
  <c r="Y14" i="1" s="1"/>
  <c r="X13" i="1"/>
  <c r="Y13" i="1" s="1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X6" i="1"/>
  <c r="Y6" i="1" s="1"/>
  <c r="X5" i="1"/>
  <c r="Y5" i="1" s="1"/>
  <c r="I56" i="1" l="1"/>
  <c r="E56" i="1"/>
  <c r="K56" i="1"/>
  <c r="G56" i="1"/>
</calcChain>
</file>

<file path=xl/sharedStrings.xml><?xml version="1.0" encoding="utf-8"?>
<sst xmlns="http://schemas.openxmlformats.org/spreadsheetml/2006/main" count="459" uniqueCount="241">
  <si>
    <t>고객사 인큐베이팅 스크리닝 시트</t>
  </si>
  <si>
    <r>
      <rPr>
        <i/>
        <sz val="9"/>
        <color rgb="FF666666"/>
        <rFont val="Noto Sans CJK SC"/>
        <family val="2"/>
      </rPr>
      <t>작성 방법</t>
    </r>
    <r>
      <rPr>
        <i/>
        <sz val="9"/>
        <color rgb="FF666666"/>
        <rFont val="Arial"/>
        <family val="2"/>
      </rPr>
      <t xml:space="preserve">: </t>
    </r>
    <r>
      <rPr>
        <i/>
        <sz val="9"/>
        <color rgb="FF666666"/>
        <rFont val="Noto Sans CJK SC"/>
        <family val="2"/>
      </rPr>
      <t>기존 고객사를 한 줄씩 입력하고</t>
    </r>
    <r>
      <rPr>
        <i/>
        <sz val="9"/>
        <color rgb="FF666666"/>
        <rFont val="Arial"/>
        <family val="2"/>
      </rPr>
      <t xml:space="preserve">, </t>
    </r>
    <r>
      <rPr>
        <i/>
        <sz val="9"/>
        <color rgb="FF666666"/>
        <rFont val="Noto Sans CJK SC"/>
        <family val="2"/>
      </rPr>
      <t>각 항목을 체크합니다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>우측의 종합점수가 자동 계산됩니다</t>
    </r>
    <r>
      <rPr>
        <i/>
        <sz val="9"/>
        <color rgb="FF666666"/>
        <rFont val="Arial"/>
        <family val="2"/>
      </rPr>
      <t>.</t>
    </r>
  </si>
  <si>
    <t>① 기본정보</t>
  </si>
  <si>
    <t>② 등록현황</t>
  </si>
  <si>
    <t>③ 실태조사 준비도</t>
  </si>
  <si>
    <t>④ 인큐베이팅 가능성</t>
  </si>
  <si>
    <t>⑤ 종합평가</t>
  </si>
  <si>
    <t>No.</t>
  </si>
  <si>
    <t>업체명</t>
  </si>
  <si>
    <t>대표자</t>
  </si>
  <si>
    <t>업종</t>
  </si>
  <si>
    <r>
      <rPr>
        <b/>
        <sz val="9"/>
        <color rgb="FF1B4F72"/>
        <rFont val="Noto Sans CJK SC"/>
        <family val="2"/>
      </rPr>
      <t xml:space="preserve">등록유형
</t>
    </r>
    <r>
      <rPr>
        <b/>
        <sz val="9"/>
        <color rgb="FF1B4F72"/>
        <rFont val="Arial"/>
        <family val="2"/>
      </rPr>
      <t>(</t>
    </r>
    <r>
      <rPr>
        <b/>
        <sz val="9"/>
        <color rgb="FF1B4F72"/>
        <rFont val="Noto Sans CJK SC"/>
        <family val="2"/>
      </rPr>
      <t>신규</t>
    </r>
    <r>
      <rPr>
        <b/>
        <sz val="9"/>
        <color rgb="FF1B4F72"/>
        <rFont val="Arial"/>
        <family val="2"/>
      </rPr>
      <t>/</t>
    </r>
    <r>
      <rPr>
        <b/>
        <sz val="9"/>
        <color rgb="FF1B4F72"/>
        <rFont val="Noto Sans CJK SC"/>
        <family val="2"/>
      </rPr>
      <t>양수</t>
    </r>
    <r>
      <rPr>
        <b/>
        <sz val="9"/>
        <color rgb="FF1B4F72"/>
        <rFont val="Arial"/>
        <family val="2"/>
      </rPr>
      <t>/</t>
    </r>
    <r>
      <rPr>
        <b/>
        <sz val="9"/>
        <color rgb="FF1B4F72"/>
        <rFont val="Noto Sans CJK SC"/>
        <family val="2"/>
      </rPr>
      <t>합병</t>
    </r>
    <r>
      <rPr>
        <b/>
        <sz val="9"/>
        <color rgb="FF1B4F72"/>
        <rFont val="Arial"/>
        <family val="2"/>
      </rPr>
      <t>)</t>
    </r>
  </si>
  <si>
    <t>등록일</t>
  </si>
  <si>
    <r>
      <rPr>
        <b/>
        <sz val="9"/>
        <color rgb="FF1B4F72"/>
        <rFont val="Noto Sans CJK SC"/>
        <family val="2"/>
      </rPr>
      <t>소재지</t>
    </r>
    <r>
      <rPr>
        <b/>
        <sz val="9"/>
        <color rgb="FF1B4F72"/>
        <rFont val="Arial"/>
        <family val="2"/>
      </rPr>
      <t>(</t>
    </r>
    <r>
      <rPr>
        <b/>
        <sz val="9"/>
        <color rgb="FF1B4F72"/>
        <rFont val="Noto Sans CJK SC"/>
        <family val="2"/>
      </rPr>
      <t>시</t>
    </r>
    <r>
      <rPr>
        <b/>
        <sz val="9"/>
        <color rgb="FF1B4F72"/>
        <rFont val="Arial"/>
        <family val="2"/>
      </rPr>
      <t>/</t>
    </r>
    <r>
      <rPr>
        <b/>
        <sz val="9"/>
        <color rgb="FF1B4F72"/>
        <rFont val="Noto Sans CJK SC"/>
        <family val="2"/>
      </rPr>
      <t>군</t>
    </r>
    <r>
      <rPr>
        <b/>
        <sz val="9"/>
        <color rgb="FF1B4F72"/>
        <rFont val="Arial"/>
        <family val="2"/>
      </rPr>
      <t>/</t>
    </r>
    <r>
      <rPr>
        <b/>
        <sz val="9"/>
        <color rgb="FF1B4F72"/>
        <rFont val="Noto Sans CJK SC"/>
        <family val="2"/>
      </rPr>
      <t>구</t>
    </r>
    <r>
      <rPr>
        <b/>
        <sz val="9"/>
        <color rgb="FF1B4F72"/>
        <rFont val="Arial"/>
        <family val="2"/>
      </rPr>
      <t>)</t>
    </r>
  </si>
  <si>
    <r>
      <rPr>
        <b/>
        <sz val="9"/>
        <color rgb="FF1B4F72"/>
        <rFont val="Noto Sans CJK SC"/>
        <family val="2"/>
      </rPr>
      <t xml:space="preserve">자본금
</t>
    </r>
    <r>
      <rPr>
        <b/>
        <sz val="9"/>
        <color rgb="FF1B4F72"/>
        <rFont val="Arial"/>
        <family val="2"/>
      </rPr>
      <t>(</t>
    </r>
    <r>
      <rPr>
        <b/>
        <sz val="9"/>
        <color rgb="FF1B4F72"/>
        <rFont val="Noto Sans CJK SC"/>
        <family val="2"/>
      </rPr>
      <t>만원</t>
    </r>
    <r>
      <rPr>
        <b/>
        <sz val="9"/>
        <color rgb="FF1B4F72"/>
        <rFont val="Arial"/>
        <family val="2"/>
      </rPr>
      <t>)</t>
    </r>
  </si>
  <si>
    <r>
      <rPr>
        <b/>
        <sz val="9"/>
        <color rgb="FF1B4F72"/>
        <rFont val="Noto Sans CJK SC"/>
        <family val="2"/>
      </rPr>
      <t xml:space="preserve">기술자 수
</t>
    </r>
    <r>
      <rPr>
        <b/>
        <sz val="9"/>
        <color rgb="FF1B4F72"/>
        <rFont val="Arial"/>
        <family val="2"/>
      </rPr>
      <t>(</t>
    </r>
    <r>
      <rPr>
        <b/>
        <sz val="9"/>
        <color rgb="FF1B4F72"/>
        <rFont val="Noto Sans CJK SC"/>
        <family val="2"/>
      </rPr>
      <t>상시고용</t>
    </r>
    <r>
      <rPr>
        <b/>
        <sz val="9"/>
        <color rgb="FF1B4F72"/>
        <rFont val="Arial"/>
        <family val="2"/>
      </rPr>
      <t>)</t>
    </r>
  </si>
  <si>
    <t>사무실
실사용 여부</t>
  </si>
  <si>
    <t>공제조합
출자금 납부</t>
  </si>
  <si>
    <t>시공능력평가
등재 여부</t>
  </si>
  <si>
    <t>자본금
기준 충족</t>
  </si>
  <si>
    <t>기술자
기준 충족</t>
  </si>
  <si>
    <t>사무실
기준 충족</t>
  </si>
  <si>
    <t>실태조사
통과 가능성</t>
  </si>
  <si>
    <t>실태조사
보완 필요사항</t>
  </si>
  <si>
    <t>대표자
협조도</t>
  </si>
  <si>
    <t>여성기업
전환 가능</t>
  </si>
  <si>
    <r>
      <rPr>
        <b/>
        <sz val="9"/>
        <color rgb="FF1B4F72"/>
        <rFont val="Arial"/>
        <family val="2"/>
      </rPr>
      <t xml:space="preserve">ISO </t>
    </r>
    <r>
      <rPr>
        <b/>
        <sz val="9"/>
        <color rgb="FF1B4F72"/>
        <rFont val="Noto Sans CJK SC"/>
        <family val="2"/>
      </rPr>
      <t>인증
보유</t>
    </r>
    <r>
      <rPr>
        <b/>
        <sz val="9"/>
        <color rgb="FF1B4F72"/>
        <rFont val="Arial"/>
        <family val="2"/>
      </rPr>
      <t>/</t>
    </r>
    <r>
      <rPr>
        <b/>
        <sz val="9"/>
        <color rgb="FF1B4F72"/>
        <rFont val="Noto Sans CJK SC"/>
        <family val="2"/>
      </rPr>
      <t>예정</t>
    </r>
  </si>
  <si>
    <r>
      <rPr>
        <b/>
        <sz val="9"/>
        <color rgb="FF1B4F72"/>
        <rFont val="Arial"/>
        <family val="2"/>
      </rPr>
      <t xml:space="preserve">G2B </t>
    </r>
    <r>
      <rPr>
        <b/>
        <sz val="9"/>
        <color rgb="FF1B4F72"/>
        <rFont val="Noto Sans CJK SC"/>
        <family val="2"/>
      </rPr>
      <t>등록
여부</t>
    </r>
  </si>
  <si>
    <t>실태조사
점수</t>
  </si>
  <si>
    <t>인큐베이팅
점수</t>
  </si>
  <si>
    <r>
      <rPr>
        <b/>
        <sz val="9"/>
        <color rgb="FF1B4F72"/>
        <rFont val="Noto Sans CJK SC"/>
        <family val="2"/>
      </rPr>
      <t xml:space="preserve">종합점수
</t>
    </r>
    <r>
      <rPr>
        <b/>
        <sz val="9"/>
        <color rgb="FF1B4F72"/>
        <rFont val="Arial"/>
        <family val="2"/>
      </rPr>
      <t>(100</t>
    </r>
    <r>
      <rPr>
        <b/>
        <sz val="9"/>
        <color rgb="FF1B4F72"/>
        <rFont val="Noto Sans CJK SC"/>
        <family val="2"/>
      </rPr>
      <t>점</t>
    </r>
    <r>
      <rPr>
        <b/>
        <sz val="9"/>
        <color rgb="FF1B4F72"/>
        <rFont val="Arial"/>
        <family val="2"/>
      </rPr>
      <t>)</t>
    </r>
  </si>
  <si>
    <r>
      <rPr>
        <b/>
        <sz val="9"/>
        <color rgb="FF1B4F72"/>
        <rFont val="Noto Sans CJK SC"/>
        <family val="2"/>
      </rPr>
      <t xml:space="preserve">등급
</t>
    </r>
    <r>
      <rPr>
        <b/>
        <sz val="9"/>
        <color rgb="FF1B4F72"/>
        <rFont val="Arial"/>
        <family val="2"/>
      </rPr>
      <t>(A/B/C/D)</t>
    </r>
  </si>
  <si>
    <r>
      <rPr>
        <b/>
        <sz val="9"/>
        <color rgb="FF1B4F72"/>
        <rFont val="Noto Sans CJK SC"/>
        <family val="2"/>
      </rPr>
      <t>비고</t>
    </r>
    <r>
      <rPr>
        <b/>
        <sz val="9"/>
        <color rgb="FF1B4F72"/>
        <rFont val="Arial"/>
        <family val="2"/>
      </rPr>
      <t>/</t>
    </r>
    <r>
      <rPr>
        <b/>
        <sz val="9"/>
        <color rgb="FF1B4F72"/>
        <rFont val="Noto Sans CJK SC"/>
        <family val="2"/>
      </rPr>
      <t>메모</t>
    </r>
  </si>
  <si>
    <t>■ 등급별 현황</t>
  </si>
  <si>
    <r>
      <rPr>
        <b/>
        <sz val="10"/>
        <color rgb="FF333333"/>
        <rFont val="Arial"/>
        <family val="2"/>
      </rPr>
      <t>A</t>
    </r>
    <r>
      <rPr>
        <b/>
        <sz val="10"/>
        <color rgb="FF333333"/>
        <rFont val="Noto Sans CJK SC"/>
        <family val="2"/>
      </rPr>
      <t>등급</t>
    </r>
    <r>
      <rPr>
        <b/>
        <sz val="10"/>
        <color rgb="FF333333"/>
        <rFont val="Arial"/>
        <family val="2"/>
      </rPr>
      <t>(80+):</t>
    </r>
  </si>
  <si>
    <r>
      <rPr>
        <b/>
        <sz val="10"/>
        <color rgb="FF333333"/>
        <rFont val="Arial"/>
        <family val="2"/>
      </rPr>
      <t>B</t>
    </r>
    <r>
      <rPr>
        <b/>
        <sz val="10"/>
        <color rgb="FF333333"/>
        <rFont val="Noto Sans CJK SC"/>
        <family val="2"/>
      </rPr>
      <t>등급</t>
    </r>
    <r>
      <rPr>
        <b/>
        <sz val="10"/>
        <color rgb="FF333333"/>
        <rFont val="Arial"/>
        <family val="2"/>
      </rPr>
      <t>(60~79):</t>
    </r>
  </si>
  <si>
    <r>
      <rPr>
        <b/>
        <sz val="10"/>
        <color rgb="FF333333"/>
        <rFont val="Arial"/>
        <family val="2"/>
      </rPr>
      <t>C</t>
    </r>
    <r>
      <rPr>
        <b/>
        <sz val="10"/>
        <color rgb="FF333333"/>
        <rFont val="Noto Sans CJK SC"/>
        <family val="2"/>
      </rPr>
      <t>등급</t>
    </r>
    <r>
      <rPr>
        <b/>
        <sz val="10"/>
        <color rgb="FF333333"/>
        <rFont val="Arial"/>
        <family val="2"/>
      </rPr>
      <t>(40~59):</t>
    </r>
  </si>
  <si>
    <r>
      <rPr>
        <b/>
        <sz val="10"/>
        <color rgb="FF333333"/>
        <rFont val="Arial"/>
        <family val="2"/>
      </rPr>
      <t>D</t>
    </r>
    <r>
      <rPr>
        <b/>
        <sz val="10"/>
        <color rgb="FF333333"/>
        <rFont val="Noto Sans CJK SC"/>
        <family val="2"/>
      </rPr>
      <t>등급</t>
    </r>
    <r>
      <rPr>
        <b/>
        <sz val="10"/>
        <color rgb="FF333333"/>
        <rFont val="Arial"/>
        <family val="2"/>
      </rPr>
      <t>(~39):</t>
    </r>
  </si>
  <si>
    <r>
      <rPr>
        <i/>
        <sz val="9"/>
        <color rgb="FF666666"/>
        <rFont val="Arial"/>
        <family val="2"/>
      </rPr>
      <t>A</t>
    </r>
    <r>
      <rPr>
        <i/>
        <sz val="9"/>
        <color rgb="FF666666"/>
        <rFont val="Noto Sans CJK SC"/>
        <family val="2"/>
      </rPr>
      <t xml:space="preserve">등급 </t>
    </r>
    <r>
      <rPr>
        <i/>
        <sz val="9"/>
        <color rgb="FF666666"/>
        <rFont val="Arial"/>
        <family val="2"/>
      </rPr>
      <t xml:space="preserve">= </t>
    </r>
    <r>
      <rPr>
        <i/>
        <sz val="9"/>
        <color rgb="FF666666"/>
        <rFont val="Noto Sans CJK SC"/>
        <family val="2"/>
      </rPr>
      <t xml:space="preserve">즉시 인큐베이팅 착수  </t>
    </r>
    <r>
      <rPr>
        <i/>
        <sz val="9"/>
        <color rgb="FF666666"/>
        <rFont val="Arial"/>
        <family val="2"/>
      </rPr>
      <t>|  B</t>
    </r>
    <r>
      <rPr>
        <i/>
        <sz val="9"/>
        <color rgb="FF666666"/>
        <rFont val="Noto Sans CJK SC"/>
        <family val="2"/>
      </rPr>
      <t xml:space="preserve">등급 </t>
    </r>
    <r>
      <rPr>
        <i/>
        <sz val="9"/>
        <color rgb="FF666666"/>
        <rFont val="Arial"/>
        <family val="2"/>
      </rPr>
      <t>= 1~2</t>
    </r>
    <r>
      <rPr>
        <i/>
        <sz val="9"/>
        <color rgb="FF666666"/>
        <rFont val="Noto Sans CJK SC"/>
        <family val="2"/>
      </rPr>
      <t xml:space="preserve">개 보완 후 착수  </t>
    </r>
    <r>
      <rPr>
        <i/>
        <sz val="9"/>
        <color rgb="FF666666"/>
        <rFont val="Arial"/>
        <family val="2"/>
      </rPr>
      <t>|  C</t>
    </r>
    <r>
      <rPr>
        <i/>
        <sz val="9"/>
        <color rgb="FF666666"/>
        <rFont val="Noto Sans CJK SC"/>
        <family val="2"/>
      </rPr>
      <t xml:space="preserve">등급 </t>
    </r>
    <r>
      <rPr>
        <i/>
        <sz val="9"/>
        <color rgb="FF666666"/>
        <rFont val="Arial"/>
        <family val="2"/>
      </rPr>
      <t xml:space="preserve">= </t>
    </r>
    <r>
      <rPr>
        <i/>
        <sz val="9"/>
        <color rgb="FF666666"/>
        <rFont val="Noto Sans CJK SC"/>
        <family val="2"/>
      </rPr>
      <t xml:space="preserve">상당한 보완 필요  </t>
    </r>
    <r>
      <rPr>
        <i/>
        <sz val="9"/>
        <color rgb="FF666666"/>
        <rFont val="Arial"/>
        <family val="2"/>
      </rPr>
      <t>|  D</t>
    </r>
    <r>
      <rPr>
        <i/>
        <sz val="9"/>
        <color rgb="FF666666"/>
        <rFont val="Noto Sans CJK SC"/>
        <family val="2"/>
      </rPr>
      <t xml:space="preserve">등급 </t>
    </r>
    <r>
      <rPr>
        <i/>
        <sz val="9"/>
        <color rgb="FF666666"/>
        <rFont val="Arial"/>
        <family val="2"/>
      </rPr>
      <t xml:space="preserve">= </t>
    </r>
    <r>
      <rPr>
        <i/>
        <sz val="9"/>
        <color rgb="FF666666"/>
        <rFont val="Noto Sans CJK SC"/>
        <family val="2"/>
      </rPr>
      <t>현 단계에서 부적합</t>
    </r>
  </si>
  <si>
    <t>업종별 수의계약 전략 카드</t>
  </si>
  <si>
    <t>근거법</t>
  </si>
  <si>
    <r>
      <rPr>
        <b/>
        <sz val="11"/>
        <color rgb="FFFFFFFF"/>
        <rFont val="Noto Sans CJK SC"/>
        <family val="2"/>
      </rPr>
      <t xml:space="preserve">수의계약 한도
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국가계약법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</si>
  <si>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수의계약 한도
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지방계약법</t>
    </r>
    <r>
      <rPr>
        <b/>
        <sz val="11"/>
        <color rgb="FFFFFFFF"/>
        <rFont val="Arial"/>
        <family val="2"/>
      </rPr>
      <t>)</t>
    </r>
  </si>
  <si>
    <t>등록 자본금</t>
  </si>
  <si>
    <t>주요 발주처</t>
  </si>
  <si>
    <t>주요 발주 물량</t>
  </si>
  <si>
    <r>
      <rPr>
        <b/>
        <sz val="11"/>
        <color rgb="FFFFFFFF"/>
        <rFont val="Noto Sans CJK SC"/>
        <family val="2"/>
      </rPr>
      <t>비고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전략 포인트</t>
    </r>
  </si>
  <si>
    <r>
      <rPr>
        <sz val="10"/>
        <color rgb="FF333333"/>
        <rFont val="Noto Sans CJK SC"/>
        <family val="2"/>
      </rPr>
      <t xml:space="preserve">종합건설업 </t>
    </r>
    <r>
      <rPr>
        <sz val="10"/>
        <color rgb="FF333333"/>
        <rFont val="Arial"/>
        <family val="2"/>
      </rPr>
      <t xml:space="preserve">- </t>
    </r>
    <r>
      <rPr>
        <sz val="10"/>
        <color rgb="FF333333"/>
        <rFont val="Noto Sans CJK SC"/>
        <family val="2"/>
      </rPr>
      <t>토건</t>
    </r>
  </si>
  <si>
    <t>건설산업기본법</t>
  </si>
  <si>
    <r>
      <rPr>
        <sz val="10"/>
        <color rgb="FF333333"/>
        <rFont val="Arial"/>
        <family val="2"/>
      </rPr>
      <t>4</t>
    </r>
    <r>
      <rPr>
        <sz val="10"/>
        <color rgb="FF333333"/>
        <rFont val="Noto Sans CJK SC"/>
        <family val="2"/>
      </rPr>
      <t>억원 이하</t>
    </r>
  </si>
  <si>
    <r>
      <rPr>
        <sz val="10"/>
        <color rgb="FF333333"/>
        <rFont val="Arial"/>
        <family val="2"/>
      </rPr>
      <t>3</t>
    </r>
    <r>
      <rPr>
        <sz val="10"/>
        <color rgb="FF333333"/>
        <rFont val="Noto Sans CJK SC"/>
        <family val="2"/>
      </rPr>
      <t>억원 이하</t>
    </r>
  </si>
  <si>
    <r>
      <rPr>
        <sz val="10"/>
        <color rgb="FF333333"/>
        <rFont val="Arial"/>
        <family val="2"/>
      </rPr>
      <t>7</t>
    </r>
    <r>
      <rPr>
        <sz val="10"/>
        <color rgb="FF333333"/>
        <rFont val="Noto Sans CJK SC"/>
        <family val="2"/>
      </rPr>
      <t>억원</t>
    </r>
  </si>
  <si>
    <r>
      <rPr>
        <sz val="10"/>
        <color rgb="FF333333"/>
        <rFont val="Noto Sans CJK SC"/>
        <family val="2"/>
      </rPr>
      <t>지자체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공공기관</t>
    </r>
    <r>
      <rPr>
        <sz val="10"/>
        <color rgb="FF333333"/>
        <rFont val="Arial"/>
        <family val="2"/>
      </rPr>
      <t>, LH</t>
    </r>
  </si>
  <si>
    <r>
      <rPr>
        <sz val="10"/>
        <color rgb="FF333333"/>
        <rFont val="Noto Sans CJK SC"/>
        <family val="2"/>
      </rPr>
      <t>도로보수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하천정비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소규모토목</t>
    </r>
  </si>
  <si>
    <r>
      <rPr>
        <sz val="10"/>
        <color rgb="FF333333"/>
        <rFont val="Arial"/>
        <family val="2"/>
      </rPr>
      <t xml:space="preserve">M&amp;A </t>
    </r>
    <r>
      <rPr>
        <sz val="10"/>
        <color rgb="FF333333"/>
        <rFont val="Noto Sans CJK SC"/>
        <family val="2"/>
      </rPr>
      <t>위주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자본금 높아 신규등록 진입장벽</t>
    </r>
  </si>
  <si>
    <r>
      <rPr>
        <sz val="10"/>
        <color rgb="FF333333"/>
        <rFont val="Noto Sans CJK SC"/>
        <family val="2"/>
      </rPr>
      <t xml:space="preserve">종합건설업 </t>
    </r>
    <r>
      <rPr>
        <sz val="10"/>
        <color rgb="FF333333"/>
        <rFont val="Arial"/>
        <family val="2"/>
      </rPr>
      <t xml:space="preserve">- </t>
    </r>
    <r>
      <rPr>
        <sz val="10"/>
        <color rgb="FF333333"/>
        <rFont val="Noto Sans CJK SC"/>
        <family val="2"/>
      </rPr>
      <t>건축</t>
    </r>
  </si>
  <si>
    <r>
      <rPr>
        <sz val="10"/>
        <color rgb="FF333333"/>
        <rFont val="Arial"/>
        <family val="2"/>
      </rPr>
      <t>5</t>
    </r>
    <r>
      <rPr>
        <sz val="10"/>
        <color rgb="FF333333"/>
        <rFont val="Noto Sans CJK SC"/>
        <family val="2"/>
      </rPr>
      <t>억원</t>
    </r>
  </si>
  <si>
    <r>
      <rPr>
        <sz val="10"/>
        <color rgb="FF333333"/>
        <rFont val="Noto Sans CJK SC"/>
        <family val="2"/>
      </rPr>
      <t>지자체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학교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군부대</t>
    </r>
  </si>
  <si>
    <r>
      <rPr>
        <sz val="10"/>
        <color rgb="FF333333"/>
        <rFont val="Noto Sans CJK SC"/>
        <family val="2"/>
      </rPr>
      <t>리모델링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시설보수</t>
    </r>
  </si>
  <si>
    <r>
      <rPr>
        <sz val="10"/>
        <color rgb="FF333333"/>
        <rFont val="Noto Sans CJK SC"/>
        <family val="2"/>
      </rPr>
      <t>관공서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학교 보수공사 물량 꾸준</t>
    </r>
  </si>
  <si>
    <r>
      <rPr>
        <sz val="10"/>
        <color rgb="FF333333"/>
        <rFont val="Noto Sans CJK SC"/>
        <family val="2"/>
      </rPr>
      <t xml:space="preserve">종합건설업 </t>
    </r>
    <r>
      <rPr>
        <sz val="10"/>
        <color rgb="FF333333"/>
        <rFont val="Arial"/>
        <family val="2"/>
      </rPr>
      <t xml:space="preserve">- </t>
    </r>
    <r>
      <rPr>
        <sz val="10"/>
        <color rgb="FF333333"/>
        <rFont val="Noto Sans CJK SC"/>
        <family val="2"/>
      </rPr>
      <t>조경</t>
    </r>
  </si>
  <si>
    <t>지자체 공원녹지과</t>
  </si>
  <si>
    <r>
      <rPr>
        <sz val="10"/>
        <color rgb="FF333333"/>
        <rFont val="Noto Sans CJK SC"/>
        <family val="2"/>
      </rPr>
      <t>공원조성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가로수관리</t>
    </r>
  </si>
  <si>
    <t>지자체별 녹지 예산 확인 필수</t>
  </si>
  <si>
    <r>
      <rPr>
        <sz val="10"/>
        <color rgb="FF333333"/>
        <rFont val="Noto Sans CJK SC"/>
        <family val="2"/>
      </rPr>
      <t xml:space="preserve">전문건설업 </t>
    </r>
    <r>
      <rPr>
        <sz val="10"/>
        <color rgb="FF333333"/>
        <rFont val="Arial"/>
        <family val="2"/>
      </rPr>
      <t xml:space="preserve">- </t>
    </r>
    <r>
      <rPr>
        <sz val="10"/>
        <color rgb="FF333333"/>
        <rFont val="Noto Sans CJK SC"/>
        <family val="2"/>
      </rPr>
      <t>실내건축</t>
    </r>
  </si>
  <si>
    <r>
      <rPr>
        <sz val="10"/>
        <color rgb="FF333333"/>
        <rFont val="Arial"/>
        <family val="2"/>
      </rPr>
      <t>2</t>
    </r>
    <r>
      <rPr>
        <sz val="10"/>
        <color rgb="FF333333"/>
        <rFont val="Noto Sans CJK SC"/>
        <family val="2"/>
      </rPr>
      <t>억원 이하</t>
    </r>
  </si>
  <si>
    <r>
      <rPr>
        <sz val="10"/>
        <color rgb="FF333333"/>
        <rFont val="Arial"/>
        <family val="2"/>
      </rPr>
      <t>1</t>
    </r>
    <r>
      <rPr>
        <sz val="10"/>
        <color rgb="FF333333"/>
        <rFont val="Noto Sans CJK SC"/>
        <family val="2"/>
      </rPr>
      <t>억원 이하</t>
    </r>
  </si>
  <si>
    <r>
      <rPr>
        <sz val="10"/>
        <color rgb="FF333333"/>
        <rFont val="Arial"/>
        <family val="2"/>
      </rPr>
      <t>1.5</t>
    </r>
    <r>
      <rPr>
        <sz val="10"/>
        <color rgb="FF333333"/>
        <rFont val="Noto Sans CJK SC"/>
        <family val="2"/>
      </rPr>
      <t>억원</t>
    </r>
  </si>
  <si>
    <r>
      <rPr>
        <sz val="10"/>
        <color rgb="FF333333"/>
        <rFont val="Noto Sans CJK SC"/>
        <family val="2"/>
      </rPr>
      <t>학교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관공서</t>
    </r>
  </si>
  <si>
    <t>실내 리모델링</t>
  </si>
  <si>
    <t>가장 빈번한 전문건설 수의계약</t>
  </si>
  <si>
    <r>
      <rPr>
        <sz val="10"/>
        <color rgb="FF333333"/>
        <rFont val="Noto Sans CJK SC"/>
        <family val="2"/>
      </rPr>
      <t xml:space="preserve">전문건설업 </t>
    </r>
    <r>
      <rPr>
        <sz val="10"/>
        <color rgb="FF333333"/>
        <rFont val="Arial"/>
        <family val="2"/>
      </rPr>
      <t xml:space="preserve">- </t>
    </r>
    <r>
      <rPr>
        <sz val="10"/>
        <color rgb="FF333333"/>
        <rFont val="Noto Sans CJK SC"/>
        <family val="2"/>
      </rPr>
      <t>도장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방수</t>
    </r>
  </si>
  <si>
    <r>
      <rPr>
        <sz val="10"/>
        <color rgb="FF333333"/>
        <rFont val="Noto Sans CJK SC"/>
        <family val="2"/>
      </rPr>
      <t>지자체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공공기관</t>
    </r>
  </si>
  <si>
    <r>
      <rPr>
        <sz val="10"/>
        <color rgb="FF333333"/>
        <rFont val="Noto Sans CJK SC"/>
        <family val="2"/>
      </rPr>
      <t>외벽도장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옥상방수</t>
    </r>
  </si>
  <si>
    <r>
      <rPr>
        <sz val="10"/>
        <color rgb="FF333333"/>
        <rFont val="Noto Sans CJK SC"/>
        <family val="2"/>
      </rPr>
      <t>반복 발주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유지보수 성격 강함</t>
    </r>
  </si>
  <si>
    <r>
      <rPr>
        <sz val="10"/>
        <color rgb="FF333333"/>
        <rFont val="Noto Sans CJK SC"/>
        <family val="2"/>
      </rPr>
      <t xml:space="preserve">전문건설업 </t>
    </r>
    <r>
      <rPr>
        <sz val="10"/>
        <color rgb="FF333333"/>
        <rFont val="Arial"/>
        <family val="2"/>
      </rPr>
      <t xml:space="preserve">- </t>
    </r>
    <r>
      <rPr>
        <sz val="10"/>
        <color rgb="FF333333"/>
        <rFont val="Noto Sans CJK SC"/>
        <family val="2"/>
      </rPr>
      <t>비계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해체</t>
    </r>
  </si>
  <si>
    <r>
      <rPr>
        <sz val="10"/>
        <color rgb="FF333333"/>
        <rFont val="Noto Sans CJK SC"/>
        <family val="2"/>
      </rPr>
      <t>지자체</t>
    </r>
    <r>
      <rPr>
        <sz val="10"/>
        <color rgb="FF333333"/>
        <rFont val="Arial"/>
        <family val="2"/>
      </rPr>
      <t>, LH</t>
    </r>
  </si>
  <si>
    <t>노후건물 해체</t>
  </si>
  <si>
    <t>안전관련 수요 증가 추세</t>
  </si>
  <si>
    <r>
      <rPr>
        <sz val="10"/>
        <color rgb="FF333333"/>
        <rFont val="Noto Sans CJK SC"/>
        <family val="2"/>
      </rPr>
      <t xml:space="preserve">전문건설업 </t>
    </r>
    <r>
      <rPr>
        <sz val="10"/>
        <color rgb="FF333333"/>
        <rFont val="Arial"/>
        <family val="2"/>
      </rPr>
      <t xml:space="preserve">- </t>
    </r>
    <r>
      <rPr>
        <sz val="10"/>
        <color rgb="FF333333"/>
        <rFont val="Noto Sans CJK SC"/>
        <family val="2"/>
      </rPr>
      <t>상하수도</t>
    </r>
  </si>
  <si>
    <t>지자체 상수도과</t>
  </si>
  <si>
    <r>
      <rPr>
        <sz val="10"/>
        <color rgb="FF333333"/>
        <rFont val="Noto Sans CJK SC"/>
        <family val="2"/>
      </rPr>
      <t>상수관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하수관 보수</t>
    </r>
  </si>
  <si>
    <t>인프라 노후화로 지속적 수요</t>
  </si>
  <si>
    <r>
      <rPr>
        <sz val="10"/>
        <color rgb="FF333333"/>
        <rFont val="Noto Sans CJK SC"/>
        <family val="2"/>
      </rPr>
      <t xml:space="preserve">전문건설업 </t>
    </r>
    <r>
      <rPr>
        <sz val="10"/>
        <color rgb="FF333333"/>
        <rFont val="Arial"/>
        <family val="2"/>
      </rPr>
      <t xml:space="preserve">- </t>
    </r>
    <r>
      <rPr>
        <sz val="10"/>
        <color rgb="FF333333"/>
        <rFont val="Noto Sans CJK SC"/>
        <family val="2"/>
      </rPr>
      <t>포장</t>
    </r>
  </si>
  <si>
    <t>지자체 도로과</t>
  </si>
  <si>
    <r>
      <rPr>
        <sz val="10"/>
        <color rgb="FF333333"/>
        <rFont val="Noto Sans CJK SC"/>
        <family val="2"/>
      </rPr>
      <t>도로포장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보도블럭</t>
    </r>
  </si>
  <si>
    <t>모든 지자체 연간 상시 발주</t>
  </si>
  <si>
    <r>
      <rPr>
        <sz val="10"/>
        <color rgb="FF333333"/>
        <rFont val="Noto Sans CJK SC"/>
        <family val="2"/>
      </rPr>
      <t xml:space="preserve">전기공사업 </t>
    </r>
    <r>
      <rPr>
        <sz val="10"/>
        <color rgb="FF333333"/>
        <rFont val="Arial"/>
        <family val="2"/>
      </rPr>
      <t>(1</t>
    </r>
    <r>
      <rPr>
        <sz val="10"/>
        <color rgb="FF333333"/>
        <rFont val="Noto Sans CJK SC"/>
        <family val="2"/>
      </rPr>
      <t>종</t>
    </r>
    <r>
      <rPr>
        <sz val="10"/>
        <color rgb="FF333333"/>
        <rFont val="Arial"/>
        <family val="2"/>
      </rPr>
      <t>)</t>
    </r>
  </si>
  <si>
    <t>전기공사업법</t>
  </si>
  <si>
    <r>
      <rPr>
        <sz val="10"/>
        <color rgb="FF333333"/>
        <rFont val="Arial"/>
        <family val="2"/>
      </rPr>
      <t>1.6</t>
    </r>
    <r>
      <rPr>
        <sz val="10"/>
        <color rgb="FF333333"/>
        <rFont val="Noto Sans CJK SC"/>
        <family val="2"/>
      </rPr>
      <t>억원 이하</t>
    </r>
  </si>
  <si>
    <r>
      <rPr>
        <sz val="10"/>
        <color rgb="FF333333"/>
        <rFont val="Noto Sans CJK SC"/>
        <family val="2"/>
      </rPr>
      <t>조명교체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전기설비 유지보수</t>
    </r>
  </si>
  <si>
    <r>
      <rPr>
        <sz val="10"/>
        <color rgb="FF333333"/>
        <rFont val="Noto Sans CJK SC"/>
        <family val="2"/>
      </rPr>
      <t>소규모 발주 매우 빈번</t>
    </r>
    <r>
      <rPr>
        <sz val="10"/>
        <color rgb="FF333333"/>
        <rFont val="Arial"/>
        <family val="2"/>
      </rPr>
      <t>. 1</t>
    </r>
    <r>
      <rPr>
        <sz val="10"/>
        <color rgb="FF333333"/>
        <rFont val="Noto Sans CJK SC"/>
        <family val="2"/>
      </rPr>
      <t>순위 추천</t>
    </r>
  </si>
  <si>
    <r>
      <rPr>
        <sz val="10"/>
        <color rgb="FF333333"/>
        <rFont val="Noto Sans CJK SC"/>
        <family val="2"/>
      </rPr>
      <t xml:space="preserve">전기공사업 </t>
    </r>
    <r>
      <rPr>
        <sz val="10"/>
        <color rgb="FF333333"/>
        <rFont val="Arial"/>
        <family val="2"/>
      </rPr>
      <t>(2</t>
    </r>
    <r>
      <rPr>
        <sz val="10"/>
        <color rgb="FF333333"/>
        <rFont val="Noto Sans CJK SC"/>
        <family val="2"/>
      </rPr>
      <t>종</t>
    </r>
    <r>
      <rPr>
        <sz val="10"/>
        <color rgb="FF333333"/>
        <rFont val="Arial"/>
        <family val="2"/>
      </rPr>
      <t>)</t>
    </r>
  </si>
  <si>
    <t>자본금 없음</t>
  </si>
  <si>
    <t>소규모 시설</t>
  </si>
  <si>
    <r>
      <rPr>
        <sz val="10"/>
        <color rgb="FF333333"/>
        <rFont val="Arial"/>
        <family val="2"/>
      </rPr>
      <t>9</t>
    </r>
    <r>
      <rPr>
        <sz val="10"/>
        <color rgb="FF333333"/>
        <rFont val="Noto Sans CJK SC"/>
        <family val="2"/>
      </rPr>
      <t>억 미만 전기공사</t>
    </r>
  </si>
  <si>
    <r>
      <rPr>
        <sz val="10"/>
        <color rgb="FF333333"/>
        <rFont val="Noto Sans CJK SC"/>
        <family val="2"/>
      </rPr>
      <t>진입장벽 매우 낮음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초기 테스트용</t>
    </r>
  </si>
  <si>
    <t>정보통신공사업</t>
  </si>
  <si>
    <t>정보통신공사업법</t>
  </si>
  <si>
    <r>
      <rPr>
        <sz val="10"/>
        <color rgb="FF333333"/>
        <rFont val="Arial"/>
        <family val="2"/>
      </rPr>
      <t xml:space="preserve">CCTV, </t>
    </r>
    <r>
      <rPr>
        <sz val="10"/>
        <color rgb="FF333333"/>
        <rFont val="Noto Sans CJK SC"/>
        <family val="2"/>
      </rPr>
      <t>네트워크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방송설비</t>
    </r>
  </si>
  <si>
    <r>
      <rPr>
        <sz val="10"/>
        <color rgb="FF333333"/>
        <rFont val="Noto Sans CJK SC"/>
        <family val="2"/>
      </rPr>
      <t>스마트시티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안전도시 사업 급증</t>
    </r>
  </si>
  <si>
    <r>
      <rPr>
        <sz val="10"/>
        <color rgb="FF333333"/>
        <rFont val="Noto Sans CJK SC"/>
        <family val="2"/>
      </rPr>
      <t xml:space="preserve">소방시설공사업 </t>
    </r>
    <r>
      <rPr>
        <sz val="10"/>
        <color rgb="FF333333"/>
        <rFont val="Arial"/>
        <family val="2"/>
      </rPr>
      <t>(</t>
    </r>
    <r>
      <rPr>
        <sz val="10"/>
        <color rgb="FF333333"/>
        <rFont val="Noto Sans CJK SC"/>
        <family val="2"/>
      </rPr>
      <t>시공</t>
    </r>
    <r>
      <rPr>
        <sz val="10"/>
        <color rgb="FF333333"/>
        <rFont val="Arial"/>
        <family val="2"/>
      </rPr>
      <t>)</t>
    </r>
  </si>
  <si>
    <t>소방시설공사업법</t>
  </si>
  <si>
    <t>모든 공공건물</t>
  </si>
  <si>
    <r>
      <rPr>
        <sz val="10"/>
        <color rgb="FF333333"/>
        <rFont val="Noto Sans CJK SC"/>
        <family val="2"/>
      </rPr>
      <t>소방설비 유지보수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교체</t>
    </r>
  </si>
  <si>
    <r>
      <rPr>
        <sz val="10"/>
        <color rgb="FF333333"/>
        <rFont val="Noto Sans CJK SC"/>
        <family val="2"/>
      </rPr>
      <t>법적 의무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안정적 수요</t>
    </r>
    <r>
      <rPr>
        <sz val="10"/>
        <color rgb="FF333333"/>
        <rFont val="Arial"/>
        <family val="2"/>
      </rPr>
      <t>. 1</t>
    </r>
    <r>
      <rPr>
        <sz val="10"/>
        <color rgb="FF333333"/>
        <rFont val="Noto Sans CJK SC"/>
        <family val="2"/>
      </rPr>
      <t>순위 추천</t>
    </r>
  </si>
  <si>
    <t>소방시설관리업</t>
  </si>
  <si>
    <r>
      <rPr>
        <sz val="10"/>
        <color rgb="FF333333"/>
        <rFont val="Noto Sans CJK SC"/>
        <family val="2"/>
      </rPr>
      <t>해당없음</t>
    </r>
    <r>
      <rPr>
        <sz val="10"/>
        <color rgb="FF333333"/>
        <rFont val="Arial"/>
        <family val="2"/>
      </rPr>
      <t>(</t>
    </r>
    <r>
      <rPr>
        <sz val="10"/>
        <color rgb="FF333333"/>
        <rFont val="Noto Sans CJK SC"/>
        <family val="2"/>
      </rPr>
      <t>용역</t>
    </r>
    <r>
      <rPr>
        <sz val="10"/>
        <color rgb="FF333333"/>
        <rFont val="Arial"/>
        <family val="2"/>
      </rPr>
      <t>)</t>
    </r>
  </si>
  <si>
    <t>별도기준</t>
  </si>
  <si>
    <r>
      <rPr>
        <sz val="10"/>
        <color rgb="FF333333"/>
        <rFont val="Noto Sans CJK SC"/>
        <family val="2"/>
      </rPr>
      <t>소방점검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정비</t>
    </r>
  </si>
  <si>
    <r>
      <rPr>
        <sz val="10"/>
        <color rgb="FF333333"/>
        <rFont val="Noto Sans CJK SC"/>
        <family val="2"/>
      </rPr>
      <t>점검은 매년 의무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반복 계약</t>
    </r>
  </si>
  <si>
    <r>
      <rPr>
        <sz val="10"/>
        <color rgb="FF333333"/>
        <rFont val="Noto Sans CJK SC"/>
        <family val="2"/>
      </rPr>
      <t>석면해체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제거업</t>
    </r>
  </si>
  <si>
    <t>산업안전보건법</t>
  </si>
  <si>
    <r>
      <rPr>
        <sz val="10"/>
        <color rgb="FF333333"/>
        <rFont val="Noto Sans CJK SC"/>
        <family val="2"/>
      </rPr>
      <t>학교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노후관공서</t>
    </r>
  </si>
  <si>
    <t>석면 해체 후 처리</t>
  </si>
  <si>
    <r>
      <rPr>
        <sz val="10"/>
        <color rgb="FF333333"/>
        <rFont val="Noto Sans CJK SC"/>
        <family val="2"/>
      </rPr>
      <t>니치 업종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리모델링 전 필수</t>
    </r>
  </si>
  <si>
    <r>
      <rPr>
        <b/>
        <sz val="14"/>
        <color rgb="FF1B4F72"/>
        <rFont val="Noto Sans CJK SC"/>
        <family val="2"/>
      </rPr>
      <t xml:space="preserve">파일럿 지역 분석 시트 </t>
    </r>
    <r>
      <rPr>
        <b/>
        <sz val="14"/>
        <color rgb="FF1B4F72"/>
        <rFont val="Arial"/>
        <family val="2"/>
      </rPr>
      <t xml:space="preserve">- </t>
    </r>
    <r>
      <rPr>
        <b/>
        <sz val="14"/>
        <color rgb="FF1B4F72"/>
        <rFont val="Noto Sans CJK SC"/>
        <family val="2"/>
      </rPr>
      <t>지자체별 발주</t>
    </r>
    <r>
      <rPr>
        <b/>
        <sz val="14"/>
        <color rgb="FF1B4F72"/>
        <rFont val="Arial"/>
        <family val="2"/>
      </rPr>
      <t>/</t>
    </r>
    <r>
      <rPr>
        <b/>
        <sz val="14"/>
        <color rgb="FF1B4F72"/>
        <rFont val="Noto Sans CJK SC"/>
        <family val="2"/>
      </rPr>
      <t>등록업체 현황</t>
    </r>
  </si>
  <si>
    <r>
      <rPr>
        <i/>
        <sz val="9"/>
        <color rgb="FF666666"/>
        <rFont val="Noto Sans CJK SC"/>
        <family val="2"/>
      </rPr>
      <t>나라장터에서 해당 지자체의 수의계약 실적을 조회하여 입력합니다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>공급부족지수가 높을수록 블루오션입니다</t>
    </r>
    <r>
      <rPr>
        <i/>
        <sz val="9"/>
        <color rgb="FF666666"/>
        <rFont val="Arial"/>
        <family val="2"/>
      </rPr>
      <t>.</t>
    </r>
  </si>
  <si>
    <t>지자체명</t>
  </si>
  <si>
    <t>연간 수의계약
건수</t>
  </si>
  <si>
    <r>
      <rPr>
        <b/>
        <sz val="11"/>
        <color rgb="FFFFFFFF"/>
        <rFont val="Noto Sans CJK SC"/>
        <family val="2"/>
      </rPr>
      <t>연간 수의계약
금액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만원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</si>
  <si>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등록업체 수
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해당 업종</t>
    </r>
    <r>
      <rPr>
        <b/>
        <sz val="11"/>
        <color rgb="FFFFFFFF"/>
        <rFont val="Arial"/>
        <family val="2"/>
      </rPr>
      <t>)</t>
    </r>
  </si>
  <si>
    <t>여성기업 수</t>
  </si>
  <si>
    <t>장애인기업 수</t>
  </si>
  <si>
    <r>
      <rPr>
        <b/>
        <sz val="11"/>
        <color rgb="FFFFFFFF"/>
        <rFont val="Noto Sans CJK SC"/>
        <family val="2"/>
      </rPr>
      <t xml:space="preserve">공급부족지수
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건수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업체수</t>
    </r>
    <r>
      <rPr>
        <b/>
        <sz val="11"/>
        <color rgb="FFFFFFFF"/>
        <rFont val="Arial"/>
        <family val="2"/>
      </rPr>
      <t>)</t>
    </r>
  </si>
  <si>
    <t>여성기업
블루오션 여부</t>
  </si>
  <si>
    <r>
      <rPr>
        <b/>
        <sz val="11"/>
        <color rgb="FFFFFFFF"/>
        <rFont val="Noto Sans CJK SC"/>
        <family val="2"/>
      </rPr>
      <t>메모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특이사항</t>
    </r>
  </si>
  <si>
    <t>■ 이 시트의 목적</t>
  </si>
  <si>
    <r>
      <rPr>
        <sz val="10"/>
        <color rgb="FF333333"/>
        <rFont val="Noto Sans CJK SC"/>
        <family val="2"/>
      </rPr>
      <t xml:space="preserve">기존 고객사 </t>
    </r>
    <r>
      <rPr>
        <sz val="10"/>
        <color rgb="FF333333"/>
        <rFont val="Arial"/>
        <family val="2"/>
      </rPr>
      <t>40~60</t>
    </r>
    <r>
      <rPr>
        <sz val="10"/>
        <color rgb="FF333333"/>
        <rFont val="Noto Sans CJK SC"/>
        <family val="2"/>
      </rPr>
      <t>개 중에서 인큐베이팅 대상 업체를 빠르게 선별하기 위한 도구입니다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</si>
  <si>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Noto Sans CJK SC"/>
        <family val="2"/>
      </rPr>
      <t>완벽하게 채울 필요 없습니다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알고 있는 것만 먼저 적고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>모르는 것은 나중에 확인하면 됩니다</t>
    </r>
    <r>
      <rPr>
        <sz val="10"/>
        <color rgb="FF333333"/>
        <rFont val="Arial"/>
        <family val="2"/>
      </rPr>
      <t>.</t>
    </r>
  </si>
  <si>
    <t>■ 작성 순서</t>
  </si>
  <si>
    <r>
      <rPr>
        <sz val="10"/>
        <color rgb="FF333333"/>
        <rFont val="Arial"/>
        <family val="2"/>
      </rPr>
      <t>1</t>
    </r>
    <r>
      <rPr>
        <sz val="10"/>
        <color rgb="FF333333"/>
        <rFont val="Noto Sans CJK SC"/>
        <family val="2"/>
      </rPr>
      <t>단계</t>
    </r>
    <r>
      <rPr>
        <sz val="10"/>
        <color rgb="FF333333"/>
        <rFont val="Arial"/>
        <family val="2"/>
      </rPr>
      <t>: [</t>
    </r>
    <r>
      <rPr>
        <sz val="10"/>
        <color rgb="FF333333"/>
        <rFont val="Noto Sans CJK SC"/>
        <family val="2"/>
      </rPr>
      <t>고객사 스크리닝</t>
    </r>
    <r>
      <rPr>
        <sz val="10"/>
        <color rgb="FF333333"/>
        <rFont val="Arial"/>
        <family val="2"/>
      </rPr>
      <t xml:space="preserve">] </t>
    </r>
    <r>
      <rPr>
        <sz val="10"/>
        <color rgb="FF333333"/>
        <rFont val="Noto Sans CJK SC"/>
        <family val="2"/>
      </rPr>
      <t xml:space="preserve">시트에서 </t>
    </r>
    <r>
      <rPr>
        <sz val="10"/>
        <color rgb="FF333333"/>
        <rFont val="Arial"/>
        <family val="2"/>
      </rPr>
      <t>B</t>
    </r>
    <r>
      <rPr>
        <sz val="10"/>
        <color rgb="FF333333"/>
        <rFont val="Noto Sans CJK SC"/>
        <family val="2"/>
      </rPr>
      <t>열</t>
    </r>
    <r>
      <rPr>
        <sz val="10"/>
        <color rgb="FF333333"/>
        <rFont val="Arial"/>
        <family val="2"/>
      </rPr>
      <t>(</t>
    </r>
    <r>
      <rPr>
        <sz val="10"/>
        <color rgb="FF333333"/>
        <rFont val="Noto Sans CJK SC"/>
        <family val="2"/>
      </rPr>
      <t>업체명</t>
    </r>
    <r>
      <rPr>
        <sz val="10"/>
        <color rgb="FF333333"/>
        <rFont val="Arial"/>
        <family val="2"/>
      </rPr>
      <t>)</t>
    </r>
    <r>
      <rPr>
        <sz val="10"/>
        <color rgb="FF333333"/>
        <rFont val="Noto Sans CJK SC"/>
        <family val="2"/>
      </rPr>
      <t xml:space="preserve">부터 </t>
    </r>
    <r>
      <rPr>
        <sz val="10"/>
        <color rgb="FF333333"/>
        <rFont val="Arial"/>
        <family val="2"/>
      </rPr>
      <t>G</t>
    </r>
    <r>
      <rPr>
        <sz val="10"/>
        <color rgb="FF333333"/>
        <rFont val="Noto Sans CJK SC"/>
        <family val="2"/>
      </rPr>
      <t>열</t>
    </r>
    <r>
      <rPr>
        <sz val="10"/>
        <color rgb="FF333333"/>
        <rFont val="Arial"/>
        <family val="2"/>
      </rPr>
      <t>(</t>
    </r>
    <r>
      <rPr>
        <sz val="10"/>
        <color rgb="FF333333"/>
        <rFont val="Noto Sans CJK SC"/>
        <family val="2"/>
      </rPr>
      <t>소재지</t>
    </r>
    <r>
      <rPr>
        <sz val="10"/>
        <color rgb="FF333333"/>
        <rFont val="Arial"/>
        <family val="2"/>
      </rPr>
      <t>)</t>
    </r>
    <r>
      <rPr>
        <sz val="10"/>
        <color rgb="FF333333"/>
        <rFont val="Noto Sans CJK SC"/>
        <family val="2"/>
      </rPr>
      <t>까지 기본정보를 쭉 입력합니다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</si>
  <si>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>2</t>
    </r>
    <r>
      <rPr>
        <sz val="10"/>
        <color rgb="FF333333"/>
        <rFont val="Noto Sans CJK SC"/>
        <family val="2"/>
      </rPr>
      <t>단계</t>
    </r>
    <r>
      <rPr>
        <sz val="10"/>
        <color rgb="FF333333"/>
        <rFont val="Arial"/>
        <family val="2"/>
      </rPr>
      <t>: H~L</t>
    </r>
    <r>
      <rPr>
        <sz val="10"/>
        <color rgb="FF333333"/>
        <rFont val="Noto Sans CJK SC"/>
        <family val="2"/>
      </rPr>
      <t>열</t>
    </r>
    <r>
      <rPr>
        <sz val="10"/>
        <color rgb="FF333333"/>
        <rFont val="Arial"/>
        <family val="2"/>
      </rPr>
      <t>(</t>
    </r>
    <r>
      <rPr>
        <sz val="10"/>
        <color rgb="FF333333"/>
        <rFont val="Noto Sans CJK SC"/>
        <family val="2"/>
      </rPr>
      <t>등록현황</t>
    </r>
    <r>
      <rPr>
        <sz val="10"/>
        <color rgb="FF333333"/>
        <rFont val="Arial"/>
        <family val="2"/>
      </rPr>
      <t>)</t>
    </r>
    <r>
      <rPr>
        <sz val="10"/>
        <color rgb="FF333333"/>
        <rFont val="Noto Sans CJK SC"/>
        <family val="2"/>
      </rPr>
      <t>을 채웁니다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대부분 등록 당시 자료에서 확인 가능합니다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</si>
  <si>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>3</t>
    </r>
    <r>
      <rPr>
        <sz val="10"/>
        <color rgb="FF333333"/>
        <rFont val="Noto Sans CJK SC"/>
        <family val="2"/>
      </rPr>
      <t>단계</t>
    </r>
    <r>
      <rPr>
        <sz val="10"/>
        <color rgb="FF333333"/>
        <rFont val="Arial"/>
        <family val="2"/>
      </rPr>
      <t>: M~P</t>
    </r>
    <r>
      <rPr>
        <sz val="10"/>
        <color rgb="FF333333"/>
        <rFont val="Noto Sans CJK SC"/>
        <family val="2"/>
      </rPr>
      <t>열</t>
    </r>
    <r>
      <rPr>
        <sz val="10"/>
        <color rgb="FF333333"/>
        <rFont val="Arial"/>
        <family val="2"/>
      </rPr>
      <t>(</t>
    </r>
    <r>
      <rPr>
        <sz val="10"/>
        <color rgb="FF333333"/>
        <rFont val="Noto Sans CJK SC"/>
        <family val="2"/>
      </rPr>
      <t>실태조사 준비도</t>
    </r>
    <r>
      <rPr>
        <sz val="10"/>
        <color rgb="FF333333"/>
        <rFont val="Arial"/>
        <family val="2"/>
      </rPr>
      <t>)</t>
    </r>
    <r>
      <rPr>
        <sz val="10"/>
        <color rgb="FF333333"/>
        <rFont val="Noto Sans CJK SC"/>
        <family val="2"/>
      </rPr>
      <t>을 판단합니다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현재 자본금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기술자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 xml:space="preserve">사무실이 기준에 맞는지 </t>
    </r>
    <r>
      <rPr>
        <sz val="10"/>
        <color rgb="FF333333"/>
        <rFont val="Arial"/>
        <family val="2"/>
      </rPr>
      <t>O/X</t>
    </r>
    <r>
      <rPr>
        <sz val="10"/>
        <color rgb="FF333333"/>
        <rFont val="Noto Sans CJK SC"/>
        <family val="2"/>
      </rPr>
      <t>로 표시합니다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</si>
  <si>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>4</t>
    </r>
    <r>
      <rPr>
        <sz val="10"/>
        <color rgb="FF333333"/>
        <rFont val="Noto Sans CJK SC"/>
        <family val="2"/>
      </rPr>
      <t>단계</t>
    </r>
    <r>
      <rPr>
        <sz val="10"/>
        <color rgb="FF333333"/>
        <rFont val="Arial"/>
        <family val="2"/>
      </rPr>
      <t>: R~U</t>
    </r>
    <r>
      <rPr>
        <sz val="10"/>
        <color rgb="FF333333"/>
        <rFont val="Noto Sans CJK SC"/>
        <family val="2"/>
      </rPr>
      <t>열</t>
    </r>
    <r>
      <rPr>
        <sz val="10"/>
        <color rgb="FF333333"/>
        <rFont val="Arial"/>
        <family val="2"/>
      </rPr>
      <t>(</t>
    </r>
    <r>
      <rPr>
        <sz val="10"/>
        <color rgb="FF333333"/>
        <rFont val="Noto Sans CJK SC"/>
        <family val="2"/>
      </rPr>
      <t>인큐베이팅 가능성</t>
    </r>
    <r>
      <rPr>
        <sz val="10"/>
        <color rgb="FF333333"/>
        <rFont val="Arial"/>
        <family val="2"/>
      </rPr>
      <t>)</t>
    </r>
    <r>
      <rPr>
        <sz val="10"/>
        <color rgb="FF333333"/>
        <rFont val="Noto Sans CJK SC"/>
        <family val="2"/>
      </rPr>
      <t>을 판단합니다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대표자 협조도는 상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중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하로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 xml:space="preserve">나머지는 </t>
    </r>
    <r>
      <rPr>
        <sz val="10"/>
        <color rgb="FF333333"/>
        <rFont val="Arial"/>
        <family val="2"/>
      </rPr>
      <t>O/X</t>
    </r>
    <r>
      <rPr>
        <sz val="10"/>
        <color rgb="FF333333"/>
        <rFont val="Noto Sans CJK SC"/>
        <family val="2"/>
      </rPr>
      <t>입니다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</si>
  <si>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>5</t>
    </r>
    <r>
      <rPr>
        <sz val="10"/>
        <color rgb="FF333333"/>
        <rFont val="Noto Sans CJK SC"/>
        <family val="2"/>
      </rPr>
      <t>단계</t>
    </r>
    <r>
      <rPr>
        <sz val="10"/>
        <color rgb="FF333333"/>
        <rFont val="Arial"/>
        <family val="2"/>
      </rPr>
      <t>: V~Y</t>
    </r>
    <r>
      <rPr>
        <sz val="10"/>
        <color rgb="FF333333"/>
        <rFont val="Noto Sans CJK SC"/>
        <family val="2"/>
      </rPr>
      <t>열</t>
    </r>
    <r>
      <rPr>
        <sz val="10"/>
        <color rgb="FF333333"/>
        <rFont val="Arial"/>
        <family val="2"/>
      </rPr>
      <t>(</t>
    </r>
    <r>
      <rPr>
        <sz val="10"/>
        <color rgb="FF333333"/>
        <rFont val="Noto Sans CJK SC"/>
        <family val="2"/>
      </rPr>
      <t>종합평가</t>
    </r>
    <r>
      <rPr>
        <sz val="10"/>
        <color rgb="FF333333"/>
        <rFont val="Arial"/>
        <family val="2"/>
      </rPr>
      <t>)</t>
    </r>
    <r>
      <rPr>
        <sz val="10"/>
        <color rgb="FF333333"/>
        <rFont val="Noto Sans CJK SC"/>
        <family val="2"/>
      </rPr>
      <t>은 자동 계산됩니다</t>
    </r>
    <r>
      <rPr>
        <sz val="10"/>
        <color rgb="FF333333"/>
        <rFont val="Arial"/>
        <family val="2"/>
      </rPr>
      <t>. A</t>
    </r>
    <r>
      <rPr>
        <sz val="10"/>
        <color rgb="FF333333"/>
        <rFont val="Noto Sans CJK SC"/>
        <family val="2"/>
      </rPr>
      <t>등급부터 우선 연락합니다</t>
    </r>
    <r>
      <rPr>
        <sz val="10"/>
        <color rgb="FF333333"/>
        <rFont val="Arial"/>
        <family val="2"/>
      </rPr>
      <t>.</t>
    </r>
  </si>
  <si>
    <t>■ 각 항목 설명</t>
  </si>
  <si>
    <r>
      <rPr>
        <sz val="10"/>
        <color rgb="FF333333"/>
        <rFont val="Arial"/>
        <family val="2"/>
      </rPr>
      <t>[</t>
    </r>
    <r>
      <rPr>
        <sz val="10"/>
        <color rgb="FF333333"/>
        <rFont val="Noto Sans CJK SC"/>
        <family val="2"/>
      </rPr>
      <t>대표자 협조도</t>
    </r>
    <r>
      <rPr>
        <sz val="10"/>
        <color rgb="FF333333"/>
        <rFont val="Arial"/>
        <family val="2"/>
      </rPr>
      <t xml:space="preserve">] </t>
    </r>
    <r>
      <rPr>
        <sz val="10"/>
        <color rgb="FF333333"/>
        <rFont val="Noto Sans CJK SC"/>
        <family val="2"/>
      </rPr>
      <t>가장 중요합니다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인큐베이팅에 비용을 투자하고 수의계약 과정에 참여할 의향이 있는지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</si>
  <si>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Noto Sans CJK SC"/>
        <family val="2"/>
      </rPr>
      <t xml:space="preserve">  상 </t>
    </r>
    <r>
      <rPr>
        <sz val="10"/>
        <color rgb="FF333333"/>
        <rFont val="Arial"/>
        <family val="2"/>
      </rPr>
      <t xml:space="preserve">= </t>
    </r>
    <r>
      <rPr>
        <sz val="10"/>
        <color rgb="FF333333"/>
        <rFont val="Noto Sans CJK SC"/>
        <family val="2"/>
      </rPr>
      <t xml:space="preserve">적극적으로 원함  </t>
    </r>
    <r>
      <rPr>
        <sz val="10"/>
        <color rgb="FF333333"/>
        <rFont val="Arial"/>
        <family val="2"/>
      </rPr>
      <t xml:space="preserve">/  </t>
    </r>
    <r>
      <rPr>
        <sz val="10"/>
        <color rgb="FF333333"/>
        <rFont val="Noto Sans CJK SC"/>
        <family val="2"/>
      </rPr>
      <t xml:space="preserve">중 </t>
    </r>
    <r>
      <rPr>
        <sz val="10"/>
        <color rgb="FF333333"/>
        <rFont val="Arial"/>
        <family val="2"/>
      </rPr>
      <t xml:space="preserve">= </t>
    </r>
    <r>
      <rPr>
        <sz val="10"/>
        <color rgb="FF333333"/>
        <rFont val="Noto Sans CJK SC"/>
        <family val="2"/>
      </rPr>
      <t xml:space="preserve">관심은 있으나 확답 없음  </t>
    </r>
    <r>
      <rPr>
        <sz val="10"/>
        <color rgb="FF333333"/>
        <rFont val="Arial"/>
        <family val="2"/>
      </rPr>
      <t xml:space="preserve">/  </t>
    </r>
    <r>
      <rPr>
        <sz val="10"/>
        <color rgb="FF333333"/>
        <rFont val="Noto Sans CJK SC"/>
        <family val="2"/>
      </rPr>
      <t xml:space="preserve">하 </t>
    </r>
    <r>
      <rPr>
        <sz val="10"/>
        <color rgb="FF333333"/>
        <rFont val="Arial"/>
        <family val="2"/>
      </rPr>
      <t xml:space="preserve">= </t>
    </r>
    <r>
      <rPr>
        <sz val="10"/>
        <color rgb="FF333333"/>
        <rFont val="Noto Sans CJK SC"/>
        <family val="2"/>
      </rPr>
      <t>무관심 또는 거부</t>
    </r>
  </si>
  <si>
    <r>
      <rPr>
        <sz val="10"/>
        <color rgb="FF333333"/>
        <rFont val="Arial"/>
        <family val="2"/>
      </rPr>
      <t>[</t>
    </r>
    <r>
      <rPr>
        <sz val="10"/>
        <color rgb="FF333333"/>
        <rFont val="Noto Sans CJK SC"/>
        <family val="2"/>
      </rPr>
      <t>여성기업 전환 가능</t>
    </r>
    <r>
      <rPr>
        <sz val="10"/>
        <color rgb="FF333333"/>
        <rFont val="Arial"/>
        <family val="2"/>
      </rPr>
      <t xml:space="preserve">] </t>
    </r>
    <r>
      <rPr>
        <sz val="10"/>
        <color rgb="FF333333"/>
        <rFont val="Noto Sans CJK SC"/>
        <family val="2"/>
      </rPr>
      <t>대표자가 여성이거나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 xml:space="preserve">지분 조정으로 여성기업확인서 취득 가능한 경우 </t>
    </r>
    <r>
      <rPr>
        <sz val="10"/>
        <color rgb="FF333333"/>
        <rFont val="Arial"/>
        <family val="2"/>
      </rPr>
      <t>O</t>
    </r>
  </si>
  <si>
    <t xml:space="preserve">  → 수의계약 시장에서 가장 강력한 차별화 요소입니다</t>
  </si>
  <si>
    <r>
      <rPr>
        <sz val="10"/>
        <color rgb="FF333333"/>
        <rFont val="Arial"/>
        <family val="2"/>
      </rPr>
      <t xml:space="preserve">[ISO </t>
    </r>
    <r>
      <rPr>
        <sz val="10"/>
        <color rgb="FF333333"/>
        <rFont val="Noto Sans CJK SC"/>
        <family val="2"/>
      </rPr>
      <t>인증</t>
    </r>
    <r>
      <rPr>
        <sz val="10"/>
        <color rgb="FF333333"/>
        <rFont val="Arial"/>
        <family val="2"/>
      </rPr>
      <t xml:space="preserve">] ISO 9001/14001/45001 </t>
    </r>
    <r>
      <rPr>
        <sz val="10"/>
        <color rgb="FF333333"/>
        <rFont val="Noto Sans CJK SC"/>
        <family val="2"/>
      </rPr>
      <t>삼중인증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 xml:space="preserve">미보유 시 </t>
    </r>
    <r>
      <rPr>
        <sz val="10"/>
        <color rgb="FF333333"/>
        <rFont val="Arial"/>
        <family val="2"/>
      </rPr>
      <t>4~6</t>
    </r>
    <r>
      <rPr>
        <sz val="10"/>
        <color rgb="FF333333"/>
        <rFont val="Noto Sans CJK SC"/>
        <family val="2"/>
      </rPr>
      <t>주 소요</t>
    </r>
    <r>
      <rPr>
        <sz val="10"/>
        <color rgb="FF333333"/>
        <rFont val="Arial"/>
        <family val="2"/>
      </rPr>
      <t xml:space="preserve">, </t>
    </r>
    <r>
      <rPr>
        <sz val="10"/>
        <color rgb="FF333333"/>
        <rFont val="Noto Sans CJK SC"/>
        <family val="2"/>
      </rPr>
      <t xml:space="preserve">비용 약 </t>
    </r>
    <r>
      <rPr>
        <sz val="10"/>
        <color rgb="FF333333"/>
        <rFont val="Arial"/>
        <family val="2"/>
      </rPr>
      <t>150~200</t>
    </r>
    <r>
      <rPr>
        <sz val="10"/>
        <color rgb="FF333333"/>
        <rFont val="Noto Sans CJK SC"/>
        <family val="2"/>
      </rPr>
      <t>만원</t>
    </r>
  </si>
  <si>
    <r>
      <rPr>
        <sz val="10"/>
        <color rgb="FF333333"/>
        <rFont val="Arial"/>
        <family val="2"/>
      </rPr>
      <t>[</t>
    </r>
    <r>
      <rPr>
        <sz val="10"/>
        <color rgb="FF333333"/>
        <rFont val="Noto Sans CJK SC"/>
        <family val="2"/>
      </rPr>
      <t>실태조사 통과 가능성</t>
    </r>
    <r>
      <rPr>
        <sz val="10"/>
        <color rgb="FF333333"/>
        <rFont val="Arial"/>
        <family val="2"/>
      </rPr>
      <t xml:space="preserve">] </t>
    </r>
    <r>
      <rPr>
        <sz val="10"/>
        <color rgb="FF333333"/>
        <rFont val="Noto Sans CJK SC"/>
        <family val="2"/>
      </rPr>
      <t>종합적 판단입니다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</si>
  <si>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Noto Sans CJK SC"/>
        <family val="2"/>
      </rPr>
      <t xml:space="preserve">  상 </t>
    </r>
    <r>
      <rPr>
        <sz val="10"/>
        <color rgb="FF333333"/>
        <rFont val="Arial"/>
        <family val="2"/>
      </rPr>
      <t xml:space="preserve">= </t>
    </r>
    <r>
      <rPr>
        <sz val="10"/>
        <color rgb="FF333333"/>
        <rFont val="Noto Sans CJK SC"/>
        <family val="2"/>
      </rPr>
      <t xml:space="preserve">현재 상태로 바로 통과  </t>
    </r>
    <r>
      <rPr>
        <sz val="10"/>
        <color rgb="FF333333"/>
        <rFont val="Arial"/>
        <family val="2"/>
      </rPr>
      <t xml:space="preserve">/  </t>
    </r>
    <r>
      <rPr>
        <sz val="10"/>
        <color rgb="FF333333"/>
        <rFont val="Noto Sans CJK SC"/>
        <family val="2"/>
      </rPr>
      <t xml:space="preserve">중 </t>
    </r>
    <r>
      <rPr>
        <sz val="10"/>
        <color rgb="FF333333"/>
        <rFont val="Arial"/>
        <family val="2"/>
      </rPr>
      <t>= 1~2</t>
    </r>
    <r>
      <rPr>
        <sz val="10"/>
        <color rgb="FF333333"/>
        <rFont val="Noto Sans CJK SC"/>
        <family val="2"/>
      </rPr>
      <t xml:space="preserve">개 보완 필요  </t>
    </r>
    <r>
      <rPr>
        <sz val="10"/>
        <color rgb="FF333333"/>
        <rFont val="Arial"/>
        <family val="2"/>
      </rPr>
      <t xml:space="preserve">/  </t>
    </r>
    <r>
      <rPr>
        <sz val="10"/>
        <color rgb="FF333333"/>
        <rFont val="Noto Sans CJK SC"/>
        <family val="2"/>
      </rPr>
      <t xml:space="preserve">하 </t>
    </r>
    <r>
      <rPr>
        <sz val="10"/>
        <color rgb="FF333333"/>
        <rFont val="Arial"/>
        <family val="2"/>
      </rPr>
      <t xml:space="preserve">= </t>
    </r>
    <r>
      <rPr>
        <sz val="10"/>
        <color rgb="FF333333"/>
        <rFont val="Noto Sans CJK SC"/>
        <family val="2"/>
      </rPr>
      <t>상당한 보완 필요</t>
    </r>
  </si>
  <si>
    <t>■ 등급 기준</t>
  </si>
  <si>
    <r>
      <rPr>
        <sz val="10"/>
        <color rgb="FF333333"/>
        <rFont val="Arial"/>
        <family val="2"/>
      </rPr>
      <t>A</t>
    </r>
    <r>
      <rPr>
        <sz val="10"/>
        <color rgb="FF333333"/>
        <rFont val="Noto Sans CJK SC"/>
        <family val="2"/>
      </rPr>
      <t xml:space="preserve">등급 </t>
    </r>
    <r>
      <rPr>
        <sz val="10"/>
        <color rgb="FF333333"/>
        <rFont val="Arial"/>
        <family val="2"/>
      </rPr>
      <t>(80</t>
    </r>
    <r>
      <rPr>
        <sz val="10"/>
        <color rgb="FF333333"/>
        <rFont val="Noto Sans CJK SC"/>
        <family val="2"/>
      </rPr>
      <t>점 이상</t>
    </r>
    <r>
      <rPr>
        <sz val="10"/>
        <color rgb="FF333333"/>
        <rFont val="Arial"/>
        <family val="2"/>
      </rPr>
      <t xml:space="preserve">): </t>
    </r>
    <r>
      <rPr>
        <sz val="10"/>
        <color rgb="FF333333"/>
        <rFont val="Noto Sans CJK SC"/>
        <family val="2"/>
      </rPr>
      <t>즉시 인큐베이팅 착수 가능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 xml:space="preserve">파일럿 </t>
    </r>
    <r>
      <rPr>
        <sz val="10"/>
        <color rgb="FF333333"/>
        <rFont val="Arial"/>
        <family val="2"/>
      </rPr>
      <t>1</t>
    </r>
    <r>
      <rPr>
        <sz val="10"/>
        <color rgb="FF333333"/>
        <rFont val="Noto Sans CJK SC"/>
        <family val="2"/>
      </rPr>
      <t>순위</t>
    </r>
  </si>
  <si>
    <r>
      <rPr>
        <sz val="10"/>
        <color rgb="FF333333"/>
        <rFont val="Arial"/>
        <family val="2"/>
      </rPr>
      <t>B</t>
    </r>
    <r>
      <rPr>
        <sz val="10"/>
        <color rgb="FF333333"/>
        <rFont val="Noto Sans CJK SC"/>
        <family val="2"/>
      </rPr>
      <t xml:space="preserve">등급 </t>
    </r>
    <r>
      <rPr>
        <sz val="10"/>
        <color rgb="FF333333"/>
        <rFont val="Arial"/>
        <family val="2"/>
      </rPr>
      <t>(60~79</t>
    </r>
    <r>
      <rPr>
        <sz val="10"/>
        <color rgb="FF333333"/>
        <rFont val="Noto Sans CJK SC"/>
        <family val="2"/>
      </rPr>
      <t>점</t>
    </r>
    <r>
      <rPr>
        <sz val="10"/>
        <color rgb="FF333333"/>
        <rFont val="Arial"/>
        <family val="2"/>
      </rPr>
      <t>): 1~2</t>
    </r>
    <r>
      <rPr>
        <sz val="10"/>
        <color rgb="FF333333"/>
        <rFont val="Noto Sans CJK SC"/>
        <family val="2"/>
      </rPr>
      <t>개 항목만 보완하면 착수 가능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 xml:space="preserve">파일럿 </t>
    </r>
    <r>
      <rPr>
        <sz val="10"/>
        <color rgb="FF333333"/>
        <rFont val="Arial"/>
        <family val="2"/>
      </rPr>
      <t>2</t>
    </r>
    <r>
      <rPr>
        <sz val="10"/>
        <color rgb="FF333333"/>
        <rFont val="Noto Sans CJK SC"/>
        <family val="2"/>
      </rPr>
      <t>순위</t>
    </r>
  </si>
  <si>
    <r>
      <rPr>
        <sz val="10"/>
        <color rgb="FF333333"/>
        <rFont val="Arial"/>
        <family val="2"/>
      </rPr>
      <t>C</t>
    </r>
    <r>
      <rPr>
        <sz val="10"/>
        <color rgb="FF333333"/>
        <rFont val="Noto Sans CJK SC"/>
        <family val="2"/>
      </rPr>
      <t xml:space="preserve">등급 </t>
    </r>
    <r>
      <rPr>
        <sz val="10"/>
        <color rgb="FF333333"/>
        <rFont val="Arial"/>
        <family val="2"/>
      </rPr>
      <t>(40~59</t>
    </r>
    <r>
      <rPr>
        <sz val="10"/>
        <color rgb="FF333333"/>
        <rFont val="Noto Sans CJK SC"/>
        <family val="2"/>
      </rPr>
      <t>점</t>
    </r>
    <r>
      <rPr>
        <sz val="10"/>
        <color rgb="FF333333"/>
        <rFont val="Arial"/>
        <family val="2"/>
      </rPr>
      <t xml:space="preserve">): </t>
    </r>
    <r>
      <rPr>
        <sz val="10"/>
        <color rgb="FF333333"/>
        <rFont val="Noto Sans CJK SC"/>
        <family val="2"/>
      </rPr>
      <t>상당한 보완이 필요하나 중장기적으로 가능</t>
    </r>
  </si>
  <si>
    <r>
      <rPr>
        <sz val="10"/>
        <color rgb="FF333333"/>
        <rFont val="Arial"/>
        <family val="2"/>
      </rPr>
      <t>D</t>
    </r>
    <r>
      <rPr>
        <sz val="10"/>
        <color rgb="FF333333"/>
        <rFont val="Noto Sans CJK SC"/>
        <family val="2"/>
      </rPr>
      <t xml:space="preserve">등급 </t>
    </r>
    <r>
      <rPr>
        <sz val="10"/>
        <color rgb="FF333333"/>
        <rFont val="Arial"/>
        <family val="2"/>
      </rPr>
      <t>(39</t>
    </r>
    <r>
      <rPr>
        <sz val="10"/>
        <color rgb="FF333333"/>
        <rFont val="Noto Sans CJK SC"/>
        <family val="2"/>
      </rPr>
      <t>점 이하</t>
    </r>
    <r>
      <rPr>
        <sz val="10"/>
        <color rgb="FF333333"/>
        <rFont val="Arial"/>
        <family val="2"/>
      </rPr>
      <t xml:space="preserve">): </t>
    </r>
    <r>
      <rPr>
        <sz val="10"/>
        <color rgb="FF333333"/>
        <rFont val="Noto Sans CJK SC"/>
        <family val="2"/>
      </rPr>
      <t>현 단계에서 부적합</t>
    </r>
    <r>
      <rPr>
        <sz val="10"/>
        <color rgb="FF333333"/>
        <rFont val="Arial"/>
        <family val="2"/>
      </rPr>
      <t xml:space="preserve">. </t>
    </r>
    <r>
      <rPr>
        <sz val="10"/>
        <color rgb="FF333333"/>
        <rFont val="Noto Sans CJK SC"/>
        <family val="2"/>
      </rPr>
      <t>등록 유지 자문만 제공</t>
    </r>
  </si>
  <si>
    <t>■ 다음 단계</t>
  </si>
  <si>
    <r>
      <rPr>
        <sz val="10"/>
        <color rgb="FF333333"/>
        <rFont val="Arial"/>
        <family val="2"/>
      </rPr>
      <t>A</t>
    </r>
    <r>
      <rPr>
        <sz val="10"/>
        <color rgb="FF333333"/>
        <rFont val="Noto Sans CJK SC"/>
        <family val="2"/>
      </rPr>
      <t xml:space="preserve">등급 업체가 </t>
    </r>
    <r>
      <rPr>
        <sz val="10"/>
        <color rgb="FF333333"/>
        <rFont val="Arial"/>
        <family val="2"/>
      </rPr>
      <t>3</t>
    </r>
    <r>
      <rPr>
        <sz val="10"/>
        <color rgb="FF333333"/>
        <rFont val="Noto Sans CJK SC"/>
        <family val="2"/>
      </rPr>
      <t xml:space="preserve">개 이상 나오면 → 파일럿 업체 선정 → </t>
    </r>
    <r>
      <rPr>
        <sz val="10"/>
        <color rgb="FF333333"/>
        <rFont val="Arial"/>
        <family val="2"/>
      </rPr>
      <t xml:space="preserve">Premium </t>
    </r>
    <r>
      <rPr>
        <sz val="10"/>
        <color rgb="FF333333"/>
        <rFont val="Noto Sans CJK SC"/>
        <family val="2"/>
      </rPr>
      <t>자문계약 체결 → 인큐베이팅 착수</t>
    </r>
  </si>
  <si>
    <r>
      <rPr>
        <sz val="10"/>
        <color rgb="FF333333"/>
        <rFont val="Arial"/>
        <family val="2"/>
      </rPr>
      <t>A</t>
    </r>
    <r>
      <rPr>
        <sz val="10"/>
        <color rgb="FF333333"/>
        <rFont val="Noto Sans CJK SC"/>
        <family val="2"/>
      </rPr>
      <t xml:space="preserve">등급이 부족하면 → </t>
    </r>
    <r>
      <rPr>
        <sz val="10"/>
        <color rgb="FF333333"/>
        <rFont val="Arial"/>
        <family val="2"/>
      </rPr>
      <t>B</t>
    </r>
    <r>
      <rPr>
        <sz val="10"/>
        <color rgb="FF333333"/>
        <rFont val="Noto Sans CJK SC"/>
        <family val="2"/>
      </rPr>
      <t>등급 업체 중 보완 용이한 업체부터 인큐베이팅 진행</t>
    </r>
  </si>
  <si>
    <r>
      <rPr>
        <sz val="10"/>
        <color rgb="FF333333"/>
        <rFont val="Arial"/>
        <family val="2"/>
      </rPr>
      <t>[</t>
    </r>
    <r>
      <rPr>
        <sz val="10"/>
        <color rgb="FF333333"/>
        <rFont val="Noto Sans CJK SC"/>
        <family val="2"/>
      </rPr>
      <t>업종별 전략카드</t>
    </r>
    <r>
      <rPr>
        <sz val="10"/>
        <color rgb="FF333333"/>
        <rFont val="Arial"/>
        <family val="2"/>
      </rPr>
      <t xml:space="preserve">] </t>
    </r>
    <r>
      <rPr>
        <sz val="10"/>
        <color rgb="FF333333"/>
        <rFont val="Noto Sans CJK SC"/>
        <family val="2"/>
      </rPr>
      <t>시트에서 각 업종의 수의계약 한도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발주처</t>
    </r>
    <r>
      <rPr>
        <sz val="10"/>
        <color rgb="FF333333"/>
        <rFont val="Arial"/>
        <family val="2"/>
      </rPr>
      <t>/</t>
    </r>
    <r>
      <rPr>
        <sz val="10"/>
        <color rgb="FF333333"/>
        <rFont val="Noto Sans CJK SC"/>
        <family val="2"/>
      </rPr>
      <t>전략을 확인하세요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</si>
  <si>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>[</t>
    </r>
    <r>
      <rPr>
        <sz val="10"/>
        <color rgb="FF333333"/>
        <rFont val="Noto Sans CJK SC"/>
        <family val="2"/>
      </rPr>
      <t>지역분석 템플릿</t>
    </r>
    <r>
      <rPr>
        <sz val="10"/>
        <color rgb="FF333333"/>
        <rFont val="Arial"/>
        <family val="2"/>
      </rPr>
      <t xml:space="preserve">] </t>
    </r>
    <r>
      <rPr>
        <sz val="10"/>
        <color rgb="FF333333"/>
        <rFont val="Noto Sans CJK SC"/>
        <family val="2"/>
      </rPr>
      <t>시트에서 파일럿 권역의 지자체별 발주 현황을 분석하세요</t>
    </r>
    <r>
      <rPr>
        <sz val="10"/>
        <color rgb="FF333333"/>
        <rFont val="Arial"/>
        <family val="2"/>
      </rPr>
      <t>.</t>
    </r>
  </si>
  <si>
    <t>에스에스엔지니어링</t>
    <phoneticPr fontId="20" type="noConversion"/>
  </si>
  <si>
    <t>문건규</t>
    <phoneticPr fontId="20" type="noConversion"/>
  </si>
  <si>
    <t>기계설비/제조</t>
    <phoneticPr fontId="20" type="noConversion"/>
  </si>
  <si>
    <t>신규</t>
    <phoneticPr fontId="20" type="noConversion"/>
  </si>
  <si>
    <r>
      <t>26</t>
    </r>
    <r>
      <rPr>
        <sz val="10"/>
        <color rgb="FF333333"/>
        <rFont val="Arial Unicode MS"/>
        <family val="2"/>
        <charset val="129"/>
      </rPr>
      <t>년 1월</t>
    </r>
    <phoneticPr fontId="20" type="noConversion"/>
  </si>
  <si>
    <t>경기 광주</t>
    <phoneticPr fontId="20" type="noConversion"/>
  </si>
  <si>
    <r>
      <t>2.1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</si>
  <si>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r>
      <t>19</t>
    </r>
    <r>
      <rPr>
        <sz val="10"/>
        <color rgb="FF333333"/>
        <rFont val="Arial Unicode MS"/>
        <family val="2"/>
        <charset val="129"/>
      </rPr>
      <t>명</t>
    </r>
    <phoneticPr fontId="20" type="noConversion"/>
  </si>
  <si>
    <t>O</t>
  </si>
  <si>
    <t>O</t>
    <phoneticPr fontId="20" type="noConversion"/>
  </si>
  <si>
    <t>X</t>
    <phoneticPr fontId="20" type="noConversion"/>
  </si>
  <si>
    <t>상</t>
  </si>
  <si>
    <t>상</t>
    <phoneticPr fontId="20" type="noConversion"/>
  </si>
  <si>
    <t>중</t>
    <phoneticPr fontId="20" type="noConversion"/>
  </si>
  <si>
    <t>리테크이앤씨</t>
    <phoneticPr fontId="20" type="noConversion"/>
  </si>
  <si>
    <t>김영옥/남영현</t>
    <phoneticPr fontId="20" type="noConversion"/>
  </si>
  <si>
    <t>실내건축</t>
    <phoneticPr fontId="20" type="noConversion"/>
  </si>
  <si>
    <r>
      <t>25</t>
    </r>
    <r>
      <rPr>
        <sz val="10"/>
        <color rgb="FF333333"/>
        <rFont val="Arial Unicode MS"/>
        <family val="2"/>
        <charset val="129"/>
      </rPr>
      <t>년 12월</t>
    </r>
    <phoneticPr fontId="20" type="noConversion"/>
  </si>
  <si>
    <t>서울 강남</t>
    <phoneticPr fontId="20" type="noConversion"/>
  </si>
  <si>
    <r>
      <t>4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</si>
  <si>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r>
      <t>7</t>
    </r>
    <r>
      <rPr>
        <sz val="10"/>
        <color rgb="FF333333"/>
        <rFont val="Arial Unicode MS"/>
        <family val="2"/>
        <charset val="129"/>
      </rPr>
      <t>명</t>
    </r>
    <phoneticPr fontId="20" type="noConversion"/>
  </si>
  <si>
    <t>엔씨엠</t>
    <phoneticPr fontId="20" type="noConversion"/>
  </si>
  <si>
    <t>김태진/오병국</t>
    <phoneticPr fontId="20" type="noConversion"/>
  </si>
  <si>
    <t>금속구조/제조</t>
    <phoneticPr fontId="20" type="noConversion"/>
  </si>
  <si>
    <r>
      <t>26</t>
    </r>
    <r>
      <rPr>
        <sz val="10"/>
        <color rgb="FF333333"/>
        <rFont val="Arial Unicode MS"/>
        <family val="2"/>
        <charset val="129"/>
      </rPr>
      <t>년</t>
    </r>
    <r>
      <rPr>
        <sz val="10"/>
        <color rgb="FF333333"/>
        <rFont val="Arial"/>
        <family val="2"/>
      </rPr>
      <t xml:space="preserve"> 1</t>
    </r>
    <r>
      <rPr>
        <sz val="10"/>
        <color rgb="FF333333"/>
        <rFont val="돋움"/>
        <family val="2"/>
        <charset val="129"/>
      </rPr>
      <t>월</t>
    </r>
    <phoneticPr fontId="20" type="noConversion"/>
  </si>
  <si>
    <t>경기 의정부</t>
    <phoneticPr fontId="20" type="noConversion"/>
  </si>
  <si>
    <r>
      <t>1.65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</si>
  <si>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r>
      <t>3</t>
    </r>
    <r>
      <rPr>
        <sz val="10"/>
        <color rgb="FF333333"/>
        <rFont val="Arial Unicode MS"/>
        <family val="2"/>
        <charset val="129"/>
      </rPr>
      <t>명</t>
    </r>
    <phoneticPr fontId="20" type="noConversion"/>
  </si>
  <si>
    <t>태형테크</t>
    <phoneticPr fontId="20" type="noConversion"/>
  </si>
  <si>
    <t>김상우</t>
    <phoneticPr fontId="20" type="noConversion"/>
  </si>
  <si>
    <r>
      <t>25</t>
    </r>
    <r>
      <rPr>
        <sz val="10"/>
        <color rgb="FF333333"/>
        <rFont val="Arial Unicode MS"/>
        <family val="2"/>
        <charset val="129"/>
      </rPr>
      <t>년</t>
    </r>
    <r>
      <rPr>
        <sz val="10"/>
        <color rgb="FF333333"/>
        <rFont val="Arial"/>
        <family val="2"/>
      </rPr>
      <t xml:space="preserve"> 8</t>
    </r>
    <r>
      <rPr>
        <sz val="10"/>
        <color rgb="FF333333"/>
        <rFont val="Arial Unicode MS"/>
        <family val="2"/>
        <charset val="129"/>
      </rPr>
      <t>월</t>
    </r>
    <phoneticPr fontId="20" type="noConversion"/>
  </si>
  <si>
    <t>충북 진천</t>
    <phoneticPr fontId="20" type="noConversion"/>
  </si>
  <si>
    <r>
      <t>1.5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</si>
  <si>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r>
      <t>17</t>
    </r>
    <r>
      <rPr>
        <sz val="10"/>
        <color rgb="FF333333"/>
        <rFont val="Arial Unicode MS"/>
        <family val="2"/>
        <charset val="129"/>
      </rPr>
      <t>명</t>
    </r>
    <phoneticPr fontId="20" type="noConversion"/>
  </si>
  <si>
    <t>에이치에이앤</t>
    <phoneticPr fontId="20" type="noConversion"/>
  </si>
  <si>
    <t>김형수</t>
    <phoneticPr fontId="20" type="noConversion"/>
  </si>
  <si>
    <r>
      <t>25</t>
    </r>
    <r>
      <rPr>
        <sz val="10"/>
        <color rgb="FF333333"/>
        <rFont val="Arial Unicode MS"/>
        <family val="2"/>
        <charset val="129"/>
      </rPr>
      <t>년 7월</t>
    </r>
    <phoneticPr fontId="20" type="noConversion"/>
  </si>
  <si>
    <t>경기 시흥</t>
    <phoneticPr fontId="20" type="noConversion"/>
  </si>
  <si>
    <r>
      <t>2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</si>
  <si>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t>캄제스쳐</t>
    <phoneticPr fontId="20" type="noConversion"/>
  </si>
  <si>
    <t>김태희</t>
    <phoneticPr fontId="20" type="noConversion"/>
  </si>
  <si>
    <r>
      <t>24</t>
    </r>
    <r>
      <rPr>
        <sz val="10"/>
        <color rgb="FF333333"/>
        <rFont val="Arial Unicode MS"/>
        <family val="2"/>
        <charset val="129"/>
      </rPr>
      <t>년 11월</t>
    </r>
    <phoneticPr fontId="20" type="noConversion"/>
  </si>
  <si>
    <t>서울 중구</t>
    <phoneticPr fontId="20" type="noConversion"/>
  </si>
  <si>
    <r>
      <t>2</t>
    </r>
    <r>
      <rPr>
        <sz val="10"/>
        <color rgb="FF333333"/>
        <rFont val="Arial Unicode MS"/>
        <family val="2"/>
        <charset val="129"/>
      </rPr>
      <t>명</t>
    </r>
    <phoneticPr fontId="20" type="noConversion"/>
  </si>
  <si>
    <t>피엘이건설</t>
    <phoneticPr fontId="20" type="noConversion"/>
  </si>
  <si>
    <t>최유철/최혁준</t>
    <phoneticPr fontId="20" type="noConversion"/>
  </si>
  <si>
    <t>건축</t>
    <phoneticPr fontId="20" type="noConversion"/>
  </si>
  <si>
    <r>
      <t>24</t>
    </r>
    <r>
      <rPr>
        <sz val="10"/>
        <color rgb="FF333333"/>
        <rFont val="돋움"/>
        <family val="2"/>
        <charset val="129"/>
      </rPr>
      <t>년</t>
    </r>
    <r>
      <rPr>
        <sz val="10"/>
        <color rgb="FF333333"/>
        <rFont val="Arial"/>
        <family val="2"/>
      </rPr>
      <t xml:space="preserve"> 11</t>
    </r>
    <r>
      <rPr>
        <sz val="10"/>
        <color rgb="FF333333"/>
        <rFont val="돋움"/>
        <family val="2"/>
        <charset val="129"/>
      </rPr>
      <t>월</t>
    </r>
    <phoneticPr fontId="20" type="noConversion"/>
  </si>
  <si>
    <r>
      <t>24</t>
    </r>
    <r>
      <rPr>
        <sz val="10"/>
        <color rgb="FF333333"/>
        <rFont val="돋움"/>
        <family val="2"/>
        <charset val="129"/>
      </rPr>
      <t>년</t>
    </r>
    <r>
      <rPr>
        <sz val="10"/>
        <color rgb="FF333333"/>
        <rFont val="Arial"/>
        <family val="2"/>
      </rPr>
      <t xml:space="preserve"> 9</t>
    </r>
    <r>
      <rPr>
        <sz val="10"/>
        <color rgb="FF333333"/>
        <rFont val="돋움"/>
        <family val="2"/>
        <charset val="129"/>
      </rPr>
      <t>월</t>
    </r>
    <phoneticPr fontId="20" type="noConversion"/>
  </si>
  <si>
    <t>서울 마포구</t>
    <phoneticPr fontId="20" type="noConversion"/>
  </si>
  <si>
    <r>
      <t>6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</si>
  <si>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r>
      <t>5</t>
    </r>
    <r>
      <rPr>
        <sz val="10"/>
        <color rgb="FF333333"/>
        <rFont val="Arial Unicode MS"/>
        <family val="2"/>
        <charset val="129"/>
      </rPr>
      <t>명</t>
    </r>
    <phoneticPr fontId="20" type="noConversion"/>
  </si>
  <si>
    <t>하</t>
    <phoneticPr fontId="20" type="noConversion"/>
  </si>
  <si>
    <t>조은도시공간사무소</t>
    <phoneticPr fontId="20" type="noConversion"/>
  </si>
  <si>
    <t>조은경</t>
    <phoneticPr fontId="20" type="noConversion"/>
  </si>
  <si>
    <t>엔지니어링(도시계획)</t>
    <phoneticPr fontId="20" type="noConversion"/>
  </si>
  <si>
    <r>
      <t>24</t>
    </r>
    <r>
      <rPr>
        <sz val="10"/>
        <color rgb="FF333333"/>
        <rFont val="Arial Unicode MS"/>
        <family val="2"/>
        <charset val="129"/>
      </rPr>
      <t>년 5월</t>
    </r>
    <phoneticPr fontId="20" type="noConversion"/>
  </si>
  <si>
    <r>
      <t>0.1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</si>
  <si>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t>쿠시먼앤드웨이크필드코리아</t>
    <phoneticPr fontId="20" type="noConversion"/>
  </si>
  <si>
    <t>황점상</t>
    <phoneticPr fontId="20" type="noConversion"/>
  </si>
  <si>
    <t>건축/실내건축</t>
    <phoneticPr fontId="20" type="noConversion"/>
  </si>
  <si>
    <r>
      <t>24</t>
    </r>
    <r>
      <rPr>
        <sz val="10"/>
        <color rgb="FF333333"/>
        <rFont val="Arial Unicode MS"/>
        <family val="2"/>
        <charset val="129"/>
      </rPr>
      <t>년 8월</t>
    </r>
    <phoneticPr fontId="20" type="noConversion"/>
  </si>
  <si>
    <r>
      <t>9.75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</si>
  <si>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r>
      <t>180</t>
    </r>
    <r>
      <rPr>
        <sz val="10"/>
        <color rgb="FF333333"/>
        <rFont val="Arial Unicode MS"/>
        <family val="2"/>
        <charset val="129"/>
      </rPr>
      <t>명</t>
    </r>
    <phoneticPr fontId="20" type="noConversion"/>
  </si>
  <si>
    <t>신화산업개발</t>
    <phoneticPr fontId="20" type="noConversion"/>
  </si>
  <si>
    <t>신진식</t>
    <phoneticPr fontId="20" type="noConversion"/>
  </si>
  <si>
    <t>도장/습식방수</t>
    <phoneticPr fontId="20" type="noConversion"/>
  </si>
  <si>
    <r>
      <t>23</t>
    </r>
    <r>
      <rPr>
        <sz val="10"/>
        <color rgb="FF333333"/>
        <rFont val="Arial Unicode MS"/>
        <family val="2"/>
        <charset val="129"/>
      </rPr>
      <t>년 6월</t>
    </r>
    <phoneticPr fontId="20" type="noConversion"/>
  </si>
  <si>
    <t>대전 서구</t>
    <phoneticPr fontId="20" type="noConversion"/>
  </si>
  <si>
    <r>
      <rPr>
        <sz val="10"/>
        <color rgb="FF333333"/>
        <rFont val="Arial Unicode MS"/>
        <family val="2"/>
        <charset val="129"/>
      </rPr>
      <t xml:space="preserve">약 </t>
    </r>
    <r>
      <rPr>
        <sz val="10"/>
        <color rgb="FF333333"/>
        <rFont val="Arial"/>
        <family val="2"/>
      </rPr>
      <t>3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</si>
  <si>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t>대진이씨에스</t>
    <phoneticPr fontId="20" type="noConversion"/>
  </si>
  <si>
    <t>이왕림</t>
    <phoneticPr fontId="20" type="noConversion"/>
  </si>
  <si>
    <t>토공/철콘/비계</t>
    <phoneticPr fontId="20" type="noConversion"/>
  </si>
  <si>
    <r>
      <t>3.8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</si>
  <si>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t>경기 평택</t>
    <phoneticPr fontId="20" type="noConversion"/>
  </si>
  <si>
    <t>에이에이스튜디오프로젝트</t>
    <phoneticPr fontId="20" type="noConversion"/>
  </si>
  <si>
    <t>김광현</t>
    <phoneticPr fontId="20" type="noConversion"/>
  </si>
  <si>
    <t>금속구조/실내건축</t>
    <phoneticPr fontId="20" type="noConversion"/>
  </si>
  <si>
    <r>
      <t>24</t>
    </r>
    <r>
      <rPr>
        <sz val="10"/>
        <color rgb="FF333333"/>
        <rFont val="Arial Unicode MS"/>
        <family val="2"/>
        <charset val="129"/>
      </rPr>
      <t>년 1월</t>
    </r>
    <phoneticPr fontId="20" type="noConversion"/>
  </si>
  <si>
    <t>경기 별내</t>
    <phoneticPr fontId="20" type="noConversion"/>
  </si>
  <si>
    <r>
      <t>4.8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</si>
  <si>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t>제이원이엔지</t>
    <phoneticPr fontId="20" type="noConversion"/>
  </si>
  <si>
    <t>박홍필</t>
    <phoneticPr fontId="20" type="noConversion"/>
  </si>
  <si>
    <r>
      <t>22</t>
    </r>
    <r>
      <rPr>
        <sz val="10"/>
        <color rgb="FF333333"/>
        <rFont val="Arial Unicode MS"/>
        <family val="2"/>
        <charset val="129"/>
      </rPr>
      <t>년 9월</t>
    </r>
    <phoneticPr fontId="20" type="noConversion"/>
  </si>
  <si>
    <t>경기 김포</t>
    <phoneticPr fontId="20" type="noConversion"/>
  </si>
  <si>
    <r>
      <t>2.5</t>
    </r>
    <r>
      <rPr>
        <sz val="10"/>
        <color rgb="FF333333"/>
        <rFont val="Arial Unicode MS"/>
        <family val="2"/>
        <charset val="129"/>
      </rPr>
      <t>억</t>
    </r>
    <phoneticPr fontId="20" type="noConversion"/>
  </si>
  <si>
    <r>
      <t>8</t>
    </r>
    <r>
      <rPr>
        <sz val="10"/>
        <color rgb="FF333333"/>
        <rFont val="Arial Unicode MS"/>
        <family val="2"/>
        <charset val="129"/>
      </rPr>
      <t>명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</si>
</sst>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6"/>
      <color rgb="FF1B4F72"/>
      <name val="Noto Sans CJK SC"/>
      <family val="2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sz val="11"/>
      <color rgb="FFFFFFFF"/>
      <name val="Noto Sans CJK SC"/>
      <family val="2"/>
    </font>
    <font>
      <b/>
      <sz val="9"/>
      <color rgb="FF1B4F72"/>
      <name val="Arial"/>
      <family val="2"/>
    </font>
    <font>
      <b/>
      <sz val="9"/>
      <color rgb="FF1B4F72"/>
      <name val="Noto Sans CJK SC"/>
      <family val="2"/>
    </font>
    <font>
      <sz val="10"/>
      <color rgb="FF333333"/>
      <name val="Arial"/>
      <family val="2"/>
    </font>
    <font>
      <b/>
      <sz val="11"/>
      <color rgb="FF1B4F72"/>
      <name val="Arial"/>
      <family val="2"/>
    </font>
    <font>
      <b/>
      <sz val="12"/>
      <color rgb="FF1B4F72"/>
      <name val="Arial"/>
      <family val="2"/>
    </font>
    <font>
      <b/>
      <sz val="11"/>
      <name val="Arial"/>
      <family val="2"/>
    </font>
    <font>
      <b/>
      <sz val="11"/>
      <color rgb="FF1B4F72"/>
      <name val="Noto Sans CJK SC"/>
      <family val="2"/>
    </font>
    <font>
      <b/>
      <sz val="10"/>
      <color rgb="FF333333"/>
      <name val="Arial"/>
      <family val="2"/>
    </font>
    <font>
      <b/>
      <sz val="10"/>
      <color rgb="FF333333"/>
      <name val="Noto Sans CJK SC"/>
      <family val="2"/>
    </font>
    <font>
      <b/>
      <sz val="14"/>
      <color rgb="FF1B4F72"/>
      <name val="Noto Sans CJK SC"/>
      <family val="2"/>
    </font>
    <font>
      <b/>
      <sz val="11"/>
      <color rgb="FFFFFFFF"/>
      <name val="Arial"/>
      <family val="2"/>
    </font>
    <font>
      <sz val="10"/>
      <color rgb="FF333333"/>
      <name val="Noto Sans CJK SC"/>
      <family val="2"/>
    </font>
    <font>
      <b/>
      <sz val="14"/>
      <color rgb="FF1B4F72"/>
      <name val="Arial"/>
      <family val="2"/>
    </font>
    <font>
      <b/>
      <sz val="10"/>
      <color rgb="FF1B4F72"/>
      <name val="Arial"/>
      <family val="2"/>
    </font>
    <font>
      <b/>
      <sz val="12"/>
      <color rgb="FF1B4F72"/>
      <name val="Noto Sans CJK SC"/>
      <family val="2"/>
    </font>
    <font>
      <sz val="8"/>
      <name val="돋움"/>
      <family val="3"/>
      <charset val="129"/>
    </font>
    <font>
      <sz val="10"/>
      <color rgb="FF333333"/>
      <name val="Arial Unicode MS"/>
      <family val="2"/>
      <charset val="129"/>
    </font>
    <font>
      <sz val="10"/>
      <color rgb="FF333333"/>
      <name val="돋움"/>
      <family val="2"/>
      <charset val="129"/>
    </font>
    <font>
      <sz val="10"/>
      <color rgb="FF333333"/>
      <name val="Arial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2E86C1"/>
        <bgColor rgb="FF008080"/>
      </patternFill>
    </fill>
    <fill>
      <patternFill patternType="solid">
        <fgColor rgb="FFD6EAF8"/>
        <bgColor rgb="FFEBF5FB"/>
      </patternFill>
    </fill>
    <fill>
      <patternFill patternType="solid">
        <fgColor rgb="FFEBF5FB"/>
        <bgColor rgb="FFFDEDEC"/>
      </patternFill>
    </fill>
    <fill>
      <patternFill patternType="solid">
        <fgColor rgb="FF1B4F72"/>
        <bgColor rgb="FF3333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4" fillId="0" borderId="0" xfId="0" applyFont="1"/>
    <xf numFmtId="0" fontId="3" fillId="0" borderId="0" xfId="0" applyFont="1"/>
    <xf numFmtId="0" fontId="11" fillId="0" borderId="0" xfId="0" applyFont="1"/>
    <xf numFmtId="0" fontId="4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9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0" xfId="0" applyFont="1"/>
    <xf numFmtId="0" fontId="16" fillId="0" borderId="0" xfId="0" applyFont="1"/>
    <xf numFmtId="0" fontId="7" fillId="0" borderId="0" xfId="0" applyFont="1"/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8">
    <dxf>
      <font>
        <b/>
        <color rgb="FF1B4F72"/>
      </font>
      <fill>
        <patternFill>
          <bgColor rgb="FFD6EAF8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1B4F72"/>
      </font>
      <fill>
        <patternFill>
          <bgColor rgb="FFD6EAF8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E74C3C"/>
      </font>
      <fill>
        <patternFill>
          <bgColor rgb="FFFDEDEC"/>
        </patternFill>
      </fill>
    </dxf>
    <dxf>
      <font>
        <b/>
        <color rgb="FFF39C12"/>
      </font>
      <fill>
        <patternFill>
          <bgColor rgb="FFF9E79F"/>
        </patternFill>
      </fill>
    </dxf>
    <dxf>
      <font>
        <b/>
        <color rgb="FF1B4F72"/>
      </font>
      <fill>
        <patternFill>
          <bgColor rgb="FFD6EAF8"/>
        </patternFill>
      </fill>
    </dxf>
    <dxf>
      <font>
        <b/>
        <color rgb="FFFFFFFF"/>
      </font>
      <fill>
        <patternFill>
          <bgColor rgb="FF27AE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DE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9E79F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39C12"/>
      <rgbColor rgb="FFE74C3C"/>
      <rgbColor rgb="FF666666"/>
      <rgbColor rgb="FF969696"/>
      <rgbColor rgb="FF1B4F72"/>
      <rgbColor rgb="FF27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Z57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8" sqref="B18"/>
    </sheetView>
  </sheetViews>
  <sheetFormatPr defaultColWidth="8.7109375" defaultRowHeight="15"/>
  <cols>
    <col min="1" max="1" width="5" customWidth="1"/>
    <col min="2" max="2" width="20" customWidth="1"/>
    <col min="3" max="3" width="10" customWidth="1"/>
    <col min="4" max="4" width="18" customWidth="1"/>
    <col min="5" max="5" width="14" customWidth="1"/>
    <col min="6" max="6" width="12" customWidth="1"/>
    <col min="7" max="7" width="16" customWidth="1"/>
    <col min="8" max="8" width="12" customWidth="1"/>
    <col min="9" max="16" width="10" customWidth="1"/>
    <col min="17" max="17" width="18" customWidth="1"/>
    <col min="18" max="24" width="10" customWidth="1"/>
    <col min="25" max="25" width="8" customWidth="1"/>
    <col min="26" max="26" width="25" customWidth="1"/>
  </cols>
  <sheetData>
    <row r="1" spans="1:26" ht="2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.100000000000001" customHeight="1">
      <c r="A3" s="4" t="s">
        <v>2</v>
      </c>
      <c r="B3" s="4"/>
      <c r="C3" s="4"/>
      <c r="D3" s="4"/>
      <c r="E3" s="4"/>
      <c r="F3" s="4"/>
      <c r="G3" s="4"/>
      <c r="H3" s="4" t="s">
        <v>3</v>
      </c>
      <c r="I3" s="4"/>
      <c r="J3" s="4"/>
      <c r="K3" s="4"/>
      <c r="L3" s="4"/>
      <c r="M3" s="4" t="s">
        <v>4</v>
      </c>
      <c r="N3" s="4"/>
      <c r="O3" s="4"/>
      <c r="P3" s="4"/>
      <c r="Q3" s="4"/>
      <c r="R3" s="4" t="s">
        <v>5</v>
      </c>
      <c r="S3" s="4"/>
      <c r="T3" s="4"/>
      <c r="U3" s="4"/>
      <c r="V3" s="4" t="s">
        <v>6</v>
      </c>
      <c r="W3" s="4"/>
      <c r="X3" s="4"/>
      <c r="Y3" s="4"/>
      <c r="Z3" s="4"/>
    </row>
    <row r="4" spans="1:26" ht="36">
      <c r="A4" s="7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  <c r="N4" s="8" t="s">
        <v>20</v>
      </c>
      <c r="O4" s="8" t="s">
        <v>21</v>
      </c>
      <c r="P4" s="8" t="s">
        <v>22</v>
      </c>
      <c r="Q4" s="8" t="s">
        <v>23</v>
      </c>
      <c r="R4" s="8" t="s">
        <v>24</v>
      </c>
      <c r="S4" s="8" t="s">
        <v>25</v>
      </c>
      <c r="T4" s="7" t="s">
        <v>26</v>
      </c>
      <c r="U4" s="7" t="s">
        <v>27</v>
      </c>
      <c r="V4" s="8" t="s">
        <v>28</v>
      </c>
      <c r="W4" s="8" t="s">
        <v>29</v>
      </c>
      <c r="X4" s="8" t="s">
        <v>30</v>
      </c>
      <c r="Y4" s="8" t="s">
        <v>31</v>
      </c>
      <c r="Z4" s="8" t="s">
        <v>32</v>
      </c>
    </row>
    <row r="5" spans="1:26" ht="15.75">
      <c r="A5" s="9">
        <v>1</v>
      </c>
      <c r="B5" s="29" t="s">
        <v>154</v>
      </c>
      <c r="C5" s="29" t="s">
        <v>155</v>
      </c>
      <c r="D5" s="29" t="s">
        <v>156</v>
      </c>
      <c r="E5" s="29" t="s">
        <v>157</v>
      </c>
      <c r="F5" s="10" t="s">
        <v>158</v>
      </c>
      <c r="G5" s="29" t="s">
        <v>159</v>
      </c>
      <c r="H5" s="9" t="s">
        <v>160</v>
      </c>
      <c r="I5" s="9" t="s">
        <v>161</v>
      </c>
      <c r="J5" s="9" t="s">
        <v>163</v>
      </c>
      <c r="K5" s="30" t="s">
        <v>162</v>
      </c>
      <c r="L5" s="9" t="s">
        <v>164</v>
      </c>
      <c r="M5" s="9" t="s">
        <v>163</v>
      </c>
      <c r="N5" s="9" t="s">
        <v>162</v>
      </c>
      <c r="O5" s="9" t="s">
        <v>162</v>
      </c>
      <c r="P5" s="9" t="s">
        <v>165</v>
      </c>
      <c r="Q5" s="10" t="s">
        <v>164</v>
      </c>
      <c r="R5" s="30" t="s">
        <v>166</v>
      </c>
      <c r="S5" s="30" t="s">
        <v>164</v>
      </c>
      <c r="T5" s="9" t="s">
        <v>164</v>
      </c>
      <c r="U5" s="9" t="s">
        <v>164</v>
      </c>
      <c r="V5" s="11">
        <f t="shared" ref="V5:V36" si="0">IF(B5="","",COUNTIF(M5:O5,"O")*10+IF(P5="상",20,IF(P5="중",10,0)))</f>
        <v>50</v>
      </c>
      <c r="W5" s="11">
        <f t="shared" ref="W5:W36" si="1">IF(B5="","",IF(R5="상",20,IF(R5="중",10,0))+COUNTIF(S5:U5,"O")*10)</f>
        <v>20</v>
      </c>
      <c r="X5" s="12">
        <f t="shared" ref="X5:X36" si="2">IF(B5="","",V5+W5)</f>
        <v>70</v>
      </c>
      <c r="Y5" s="13" t="str">
        <f t="shared" ref="Y5:Y36" si="3">IF(B5="","",IF(X5&gt;=80,"A",IF(X5&gt;=60,"B",IF(X5&gt;=40,"C","D"))))</f>
        <v>B</v>
      </c>
      <c r="Z5" s="10"/>
    </row>
    <row r="6" spans="1:26" ht="24">
      <c r="A6" s="14">
        <v>2</v>
      </c>
      <c r="B6" s="31" t="s">
        <v>168</v>
      </c>
      <c r="C6" s="31" t="s">
        <v>169</v>
      </c>
      <c r="D6" s="31" t="s">
        <v>170</v>
      </c>
      <c r="E6" s="31" t="s">
        <v>157</v>
      </c>
      <c r="F6" s="15" t="s">
        <v>171</v>
      </c>
      <c r="G6" s="32" t="s">
        <v>172</v>
      </c>
      <c r="H6" s="14" t="s">
        <v>173</v>
      </c>
      <c r="I6" s="14" t="s">
        <v>174</v>
      </c>
      <c r="J6" s="14" t="s">
        <v>162</v>
      </c>
      <c r="K6" s="14" t="s">
        <v>163</v>
      </c>
      <c r="L6" s="14" t="s">
        <v>164</v>
      </c>
      <c r="M6" s="14" t="s">
        <v>163</v>
      </c>
      <c r="N6" s="14" t="s">
        <v>163</v>
      </c>
      <c r="O6" s="14" t="s">
        <v>163</v>
      </c>
      <c r="P6" s="33" t="s">
        <v>166</v>
      </c>
      <c r="Q6" s="15" t="s">
        <v>164</v>
      </c>
      <c r="R6" s="33" t="s">
        <v>167</v>
      </c>
      <c r="S6" s="14" t="s">
        <v>164</v>
      </c>
      <c r="T6" s="14" t="s">
        <v>164</v>
      </c>
      <c r="U6" s="14" t="s">
        <v>164</v>
      </c>
      <c r="V6" s="16">
        <f t="shared" si="0"/>
        <v>50</v>
      </c>
      <c r="W6" s="16">
        <f t="shared" si="1"/>
        <v>10</v>
      </c>
      <c r="X6" s="17">
        <f t="shared" si="2"/>
        <v>60</v>
      </c>
      <c r="Y6" s="18" t="str">
        <f t="shared" si="3"/>
        <v>B</v>
      </c>
      <c r="Z6" s="15"/>
    </row>
    <row r="7" spans="1:26" ht="24">
      <c r="A7" s="9">
        <v>3</v>
      </c>
      <c r="B7" s="34" t="s">
        <v>175</v>
      </c>
      <c r="C7" s="34" t="s">
        <v>176</v>
      </c>
      <c r="D7" s="34" t="s">
        <v>177</v>
      </c>
      <c r="E7" s="34" t="s">
        <v>157</v>
      </c>
      <c r="F7" s="10" t="s">
        <v>178</v>
      </c>
      <c r="G7" s="34" t="s">
        <v>179</v>
      </c>
      <c r="H7" s="9" t="s">
        <v>180</v>
      </c>
      <c r="I7" s="9" t="s">
        <v>181</v>
      </c>
      <c r="J7" s="9" t="s">
        <v>163</v>
      </c>
      <c r="K7" s="9" t="s">
        <v>163</v>
      </c>
      <c r="L7" s="9" t="s">
        <v>164</v>
      </c>
      <c r="M7" s="9" t="s">
        <v>163</v>
      </c>
      <c r="N7" s="9" t="s">
        <v>163</v>
      </c>
      <c r="O7" s="9" t="s">
        <v>163</v>
      </c>
      <c r="P7" s="30" t="s">
        <v>166</v>
      </c>
      <c r="Q7" s="10" t="s">
        <v>164</v>
      </c>
      <c r="R7" s="35" t="s">
        <v>166</v>
      </c>
      <c r="S7" s="9" t="s">
        <v>163</v>
      </c>
      <c r="T7" s="9" t="s">
        <v>164</v>
      </c>
      <c r="U7" s="9" t="s">
        <v>164</v>
      </c>
      <c r="V7" s="11">
        <f t="shared" si="0"/>
        <v>50</v>
      </c>
      <c r="W7" s="11">
        <f t="shared" si="1"/>
        <v>30</v>
      </c>
      <c r="X7" s="12">
        <f t="shared" si="2"/>
        <v>80</v>
      </c>
      <c r="Y7" s="13" t="str">
        <f t="shared" si="3"/>
        <v>A</v>
      </c>
      <c r="Z7" s="10"/>
    </row>
    <row r="8" spans="1:26" ht="15.75">
      <c r="A8" s="14">
        <v>4</v>
      </c>
      <c r="B8" s="32" t="s">
        <v>182</v>
      </c>
      <c r="C8" s="32" t="s">
        <v>183</v>
      </c>
      <c r="D8" s="32" t="s">
        <v>156</v>
      </c>
      <c r="E8" s="32" t="s">
        <v>157</v>
      </c>
      <c r="F8" s="15" t="s">
        <v>184</v>
      </c>
      <c r="G8" s="31" t="s">
        <v>185</v>
      </c>
      <c r="H8" s="14" t="s">
        <v>186</v>
      </c>
      <c r="I8" s="14" t="s">
        <v>187</v>
      </c>
      <c r="J8" s="14" t="s">
        <v>163</v>
      </c>
      <c r="K8" s="14" t="s">
        <v>163</v>
      </c>
      <c r="L8" s="14" t="s">
        <v>164</v>
      </c>
      <c r="M8" s="14" t="s">
        <v>163</v>
      </c>
      <c r="N8" s="14" t="s">
        <v>163</v>
      </c>
      <c r="O8" s="14" t="s">
        <v>163</v>
      </c>
      <c r="P8" s="33" t="s">
        <v>166</v>
      </c>
      <c r="Q8" s="15" t="s">
        <v>164</v>
      </c>
      <c r="R8" s="36" t="s">
        <v>166</v>
      </c>
      <c r="S8" s="14" t="s">
        <v>164</v>
      </c>
      <c r="T8" s="14" t="s">
        <v>164</v>
      </c>
      <c r="U8" s="14" t="s">
        <v>164</v>
      </c>
      <c r="V8" s="16">
        <f t="shared" si="0"/>
        <v>50</v>
      </c>
      <c r="W8" s="16">
        <f t="shared" si="1"/>
        <v>20</v>
      </c>
      <c r="X8" s="17">
        <f t="shared" si="2"/>
        <v>70</v>
      </c>
      <c r="Y8" s="18" t="str">
        <f t="shared" si="3"/>
        <v>B</v>
      </c>
      <c r="Z8" s="15"/>
    </row>
    <row r="9" spans="1:26" ht="15.75">
      <c r="A9" s="9">
        <v>5</v>
      </c>
      <c r="B9" s="29" t="s">
        <v>188</v>
      </c>
      <c r="C9" s="29" t="s">
        <v>189</v>
      </c>
      <c r="D9" s="29" t="s">
        <v>177</v>
      </c>
      <c r="E9" s="29" t="s">
        <v>157</v>
      </c>
      <c r="F9" s="10" t="s">
        <v>190</v>
      </c>
      <c r="G9" s="29" t="s">
        <v>191</v>
      </c>
      <c r="H9" s="9" t="s">
        <v>192</v>
      </c>
      <c r="I9" s="9" t="s">
        <v>181</v>
      </c>
      <c r="J9" s="9" t="s">
        <v>163</v>
      </c>
      <c r="K9" s="9" t="s">
        <v>163</v>
      </c>
      <c r="L9" s="9" t="s">
        <v>164</v>
      </c>
      <c r="M9" s="9" t="s">
        <v>163</v>
      </c>
      <c r="N9" s="9" t="s">
        <v>163</v>
      </c>
      <c r="O9" s="9" t="s">
        <v>163</v>
      </c>
      <c r="P9" s="30" t="s">
        <v>166</v>
      </c>
      <c r="Q9" s="10" t="s">
        <v>164</v>
      </c>
      <c r="R9" s="30" t="s">
        <v>166</v>
      </c>
      <c r="S9" s="9" t="s">
        <v>163</v>
      </c>
      <c r="T9" s="9" t="s">
        <v>164</v>
      </c>
      <c r="U9" s="9" t="s">
        <v>164</v>
      </c>
      <c r="V9" s="11">
        <f t="shared" si="0"/>
        <v>50</v>
      </c>
      <c r="W9" s="11">
        <f t="shared" si="1"/>
        <v>30</v>
      </c>
      <c r="X9" s="12">
        <f t="shared" si="2"/>
        <v>80</v>
      </c>
      <c r="Y9" s="13" t="str">
        <f t="shared" si="3"/>
        <v>A</v>
      </c>
      <c r="Z9" s="10"/>
    </row>
    <row r="10" spans="1:26" ht="15.75">
      <c r="A10" s="14">
        <v>6</v>
      </c>
      <c r="B10" s="32" t="s">
        <v>193</v>
      </c>
      <c r="C10" s="32" t="s">
        <v>194</v>
      </c>
      <c r="D10" s="32" t="s">
        <v>170</v>
      </c>
      <c r="E10" s="32" t="s">
        <v>157</v>
      </c>
      <c r="F10" s="15" t="s">
        <v>195</v>
      </c>
      <c r="G10" s="32" t="s">
        <v>196</v>
      </c>
      <c r="H10" s="14" t="s">
        <v>186</v>
      </c>
      <c r="I10" s="14" t="s">
        <v>197</v>
      </c>
      <c r="J10" s="14" t="s">
        <v>163</v>
      </c>
      <c r="K10" s="14" t="s">
        <v>163</v>
      </c>
      <c r="L10" s="14" t="s">
        <v>164</v>
      </c>
      <c r="M10" s="14" t="s">
        <v>163</v>
      </c>
      <c r="N10" s="14" t="s">
        <v>163</v>
      </c>
      <c r="O10" s="14" t="s">
        <v>163</v>
      </c>
      <c r="P10" s="33" t="s">
        <v>166</v>
      </c>
      <c r="Q10" s="15" t="s">
        <v>164</v>
      </c>
      <c r="R10" s="36" t="s">
        <v>167</v>
      </c>
      <c r="S10" s="14" t="s">
        <v>163</v>
      </c>
      <c r="T10" s="14" t="s">
        <v>164</v>
      </c>
      <c r="U10" s="14" t="s">
        <v>164</v>
      </c>
      <c r="V10" s="16">
        <f t="shared" si="0"/>
        <v>50</v>
      </c>
      <c r="W10" s="16">
        <f t="shared" si="1"/>
        <v>20</v>
      </c>
      <c r="X10" s="17">
        <f t="shared" si="2"/>
        <v>70</v>
      </c>
      <c r="Y10" s="18" t="str">
        <f t="shared" si="3"/>
        <v>B</v>
      </c>
      <c r="Z10" s="15"/>
    </row>
    <row r="11" spans="1:26" ht="24">
      <c r="A11" s="9">
        <v>7</v>
      </c>
      <c r="B11" s="34" t="s">
        <v>198</v>
      </c>
      <c r="C11" s="34" t="s">
        <v>199</v>
      </c>
      <c r="D11" s="34" t="s">
        <v>200</v>
      </c>
      <c r="E11" s="34" t="s">
        <v>157</v>
      </c>
      <c r="F11" s="10" t="s">
        <v>202</v>
      </c>
      <c r="G11" s="34" t="s">
        <v>203</v>
      </c>
      <c r="H11" s="9" t="s">
        <v>204</v>
      </c>
      <c r="I11" s="9" t="s">
        <v>205</v>
      </c>
      <c r="J11" s="9" t="s">
        <v>164</v>
      </c>
      <c r="K11" s="9" t="s">
        <v>163</v>
      </c>
      <c r="L11" s="9" t="s">
        <v>164</v>
      </c>
      <c r="M11" s="9" t="s">
        <v>163</v>
      </c>
      <c r="N11" s="9" t="s">
        <v>163</v>
      </c>
      <c r="O11" s="9" t="s">
        <v>164</v>
      </c>
      <c r="P11" s="30" t="s">
        <v>167</v>
      </c>
      <c r="Q11" s="10" t="s">
        <v>163</v>
      </c>
      <c r="R11" s="30" t="s">
        <v>206</v>
      </c>
      <c r="S11" s="9" t="s">
        <v>164</v>
      </c>
      <c r="T11" s="9" t="s">
        <v>164</v>
      </c>
      <c r="U11" s="9" t="s">
        <v>164</v>
      </c>
      <c r="V11" s="11">
        <f t="shared" si="0"/>
        <v>30</v>
      </c>
      <c r="W11" s="11">
        <f t="shared" si="1"/>
        <v>0</v>
      </c>
      <c r="X11" s="12">
        <f t="shared" si="2"/>
        <v>30</v>
      </c>
      <c r="Y11" s="13" t="str">
        <f t="shared" si="3"/>
        <v>D</v>
      </c>
      <c r="Z11" s="10"/>
    </row>
    <row r="12" spans="1:26" ht="30">
      <c r="A12" s="14">
        <v>8</v>
      </c>
      <c r="B12" s="32" t="s">
        <v>207</v>
      </c>
      <c r="C12" s="32" t="s">
        <v>208</v>
      </c>
      <c r="D12" s="32" t="s">
        <v>209</v>
      </c>
      <c r="E12" s="32" t="s">
        <v>157</v>
      </c>
      <c r="F12" s="15" t="s">
        <v>210</v>
      </c>
      <c r="G12" s="32" t="s">
        <v>196</v>
      </c>
      <c r="H12" s="14" t="s">
        <v>211</v>
      </c>
      <c r="I12" s="14" t="s">
        <v>181</v>
      </c>
      <c r="J12" s="14" t="s">
        <v>163</v>
      </c>
      <c r="K12" s="14" t="s">
        <v>164</v>
      </c>
      <c r="L12" s="14" t="s">
        <v>164</v>
      </c>
      <c r="M12" s="14" t="s">
        <v>163</v>
      </c>
      <c r="N12" s="14" t="s">
        <v>163</v>
      </c>
      <c r="O12" s="14" t="s">
        <v>163</v>
      </c>
      <c r="P12" s="33" t="s">
        <v>166</v>
      </c>
      <c r="Q12" s="15" t="s">
        <v>164</v>
      </c>
      <c r="R12" s="33" t="s">
        <v>166</v>
      </c>
      <c r="S12" s="14" t="s">
        <v>163</v>
      </c>
      <c r="T12" s="14" t="s">
        <v>164</v>
      </c>
      <c r="U12" s="14" t="s">
        <v>164</v>
      </c>
      <c r="V12" s="16">
        <f t="shared" si="0"/>
        <v>50</v>
      </c>
      <c r="W12" s="16">
        <f t="shared" si="1"/>
        <v>30</v>
      </c>
      <c r="X12" s="17">
        <f t="shared" si="2"/>
        <v>80</v>
      </c>
      <c r="Y12" s="18" t="str">
        <f t="shared" si="3"/>
        <v>A</v>
      </c>
      <c r="Z12" s="15"/>
    </row>
    <row r="13" spans="1:26" ht="24">
      <c r="A13" s="9">
        <v>9</v>
      </c>
      <c r="B13" s="34" t="s">
        <v>212</v>
      </c>
      <c r="C13" s="34" t="s">
        <v>213</v>
      </c>
      <c r="D13" s="34" t="s">
        <v>214</v>
      </c>
      <c r="E13" s="34" t="s">
        <v>157</v>
      </c>
      <c r="F13" s="10" t="s">
        <v>215</v>
      </c>
      <c r="G13" s="29" t="s">
        <v>196</v>
      </c>
      <c r="H13" s="9" t="s">
        <v>216</v>
      </c>
      <c r="I13" s="9" t="s">
        <v>217</v>
      </c>
      <c r="J13" s="9" t="s">
        <v>163</v>
      </c>
      <c r="K13" s="9" t="s">
        <v>163</v>
      </c>
      <c r="L13" s="9" t="s">
        <v>164</v>
      </c>
      <c r="M13" s="9" t="s">
        <v>163</v>
      </c>
      <c r="N13" s="9" t="s">
        <v>163</v>
      </c>
      <c r="O13" s="9" t="s">
        <v>163</v>
      </c>
      <c r="P13" s="30" t="s">
        <v>166</v>
      </c>
      <c r="Q13" s="10" t="s">
        <v>164</v>
      </c>
      <c r="R13" s="35" t="s">
        <v>167</v>
      </c>
      <c r="S13" s="9" t="s">
        <v>164</v>
      </c>
      <c r="T13" s="9" t="s">
        <v>164</v>
      </c>
      <c r="U13" s="9" t="s">
        <v>164</v>
      </c>
      <c r="V13" s="11">
        <f t="shared" si="0"/>
        <v>50</v>
      </c>
      <c r="W13" s="11">
        <f t="shared" si="1"/>
        <v>10</v>
      </c>
      <c r="X13" s="12">
        <f t="shared" si="2"/>
        <v>60</v>
      </c>
      <c r="Y13" s="13" t="str">
        <f t="shared" si="3"/>
        <v>B</v>
      </c>
      <c r="Z13" s="10"/>
    </row>
    <row r="14" spans="1:26" ht="15.75">
      <c r="A14" s="14">
        <v>10</v>
      </c>
      <c r="B14" s="31" t="s">
        <v>218</v>
      </c>
      <c r="C14" s="32" t="s">
        <v>219</v>
      </c>
      <c r="D14" s="32" t="s">
        <v>220</v>
      </c>
      <c r="E14" s="32" t="s">
        <v>157</v>
      </c>
      <c r="F14" s="15" t="s">
        <v>221</v>
      </c>
      <c r="G14" s="32" t="s">
        <v>222</v>
      </c>
      <c r="H14" s="37" t="s">
        <v>223</v>
      </c>
      <c r="I14" s="14" t="s">
        <v>181</v>
      </c>
      <c r="J14" s="14" t="s">
        <v>163</v>
      </c>
      <c r="K14" s="14" t="s">
        <v>163</v>
      </c>
      <c r="L14" s="14" t="s">
        <v>163</v>
      </c>
      <c r="M14" s="14" t="s">
        <v>163</v>
      </c>
      <c r="N14" s="14" t="s">
        <v>163</v>
      </c>
      <c r="O14" s="14" t="s">
        <v>163</v>
      </c>
      <c r="P14" s="33" t="s">
        <v>166</v>
      </c>
      <c r="Q14" s="15" t="s">
        <v>164</v>
      </c>
      <c r="R14" s="33" t="s">
        <v>167</v>
      </c>
      <c r="S14" s="14" t="s">
        <v>164</v>
      </c>
      <c r="T14" s="14" t="s">
        <v>164</v>
      </c>
      <c r="U14" s="14" t="s">
        <v>164</v>
      </c>
      <c r="V14" s="16">
        <f t="shared" si="0"/>
        <v>50</v>
      </c>
      <c r="W14" s="16">
        <f t="shared" si="1"/>
        <v>10</v>
      </c>
      <c r="X14" s="17">
        <f t="shared" si="2"/>
        <v>60</v>
      </c>
      <c r="Y14" s="18" t="str">
        <f t="shared" si="3"/>
        <v>B</v>
      </c>
      <c r="Z14" s="15"/>
    </row>
    <row r="15" spans="1:26" ht="15.75">
      <c r="A15" s="9">
        <v>11</v>
      </c>
      <c r="B15" s="29" t="s">
        <v>224</v>
      </c>
      <c r="C15" s="29" t="s">
        <v>225</v>
      </c>
      <c r="D15" s="29" t="s">
        <v>226</v>
      </c>
      <c r="E15" s="29" t="s">
        <v>157</v>
      </c>
      <c r="F15" s="10" t="s">
        <v>201</v>
      </c>
      <c r="G15" s="34" t="s">
        <v>228</v>
      </c>
      <c r="H15" s="9" t="s">
        <v>227</v>
      </c>
      <c r="I15" s="9" t="s">
        <v>205</v>
      </c>
      <c r="J15" s="9" t="s">
        <v>163</v>
      </c>
      <c r="K15" s="9" t="s">
        <v>163</v>
      </c>
      <c r="L15" s="9" t="s">
        <v>163</v>
      </c>
      <c r="M15" s="9" t="s">
        <v>163</v>
      </c>
      <c r="N15" s="9" t="s">
        <v>163</v>
      </c>
      <c r="O15" s="9" t="s">
        <v>163</v>
      </c>
      <c r="P15" s="30" t="s">
        <v>166</v>
      </c>
      <c r="Q15" s="10" t="s">
        <v>164</v>
      </c>
      <c r="R15" s="30" t="s">
        <v>166</v>
      </c>
      <c r="S15" s="9" t="s">
        <v>164</v>
      </c>
      <c r="T15" s="9" t="s">
        <v>163</v>
      </c>
      <c r="U15" s="9" t="s">
        <v>164</v>
      </c>
      <c r="V15" s="11">
        <f t="shared" si="0"/>
        <v>50</v>
      </c>
      <c r="W15" s="11">
        <f t="shared" si="1"/>
        <v>30</v>
      </c>
      <c r="X15" s="12">
        <f t="shared" si="2"/>
        <v>80</v>
      </c>
      <c r="Y15" s="13" t="str">
        <f t="shared" si="3"/>
        <v>A</v>
      </c>
      <c r="Z15" s="10"/>
    </row>
    <row r="16" spans="1:26" ht="24">
      <c r="A16" s="14">
        <v>12</v>
      </c>
      <c r="B16" s="31" t="s">
        <v>229</v>
      </c>
      <c r="C16" s="31" t="s">
        <v>230</v>
      </c>
      <c r="D16" s="31" t="s">
        <v>231</v>
      </c>
      <c r="E16" s="31" t="s">
        <v>157</v>
      </c>
      <c r="F16" s="15" t="s">
        <v>232</v>
      </c>
      <c r="G16" s="32" t="s">
        <v>233</v>
      </c>
      <c r="H16" s="14" t="s">
        <v>234</v>
      </c>
      <c r="I16" s="14" t="s">
        <v>205</v>
      </c>
      <c r="J16" s="14" t="s">
        <v>163</v>
      </c>
      <c r="K16" s="14" t="s">
        <v>163</v>
      </c>
      <c r="L16" s="14" t="s">
        <v>163</v>
      </c>
      <c r="M16" s="14" t="s">
        <v>163</v>
      </c>
      <c r="N16" s="14" t="s">
        <v>163</v>
      </c>
      <c r="O16" s="14" t="s">
        <v>163</v>
      </c>
      <c r="P16" s="33" t="s">
        <v>166</v>
      </c>
      <c r="Q16" s="15" t="s">
        <v>164</v>
      </c>
      <c r="R16" s="33" t="s">
        <v>166</v>
      </c>
      <c r="S16" s="14" t="s">
        <v>164</v>
      </c>
      <c r="T16" s="14" t="s">
        <v>164</v>
      </c>
      <c r="U16" s="14" t="s">
        <v>164</v>
      </c>
      <c r="V16" s="16">
        <f t="shared" si="0"/>
        <v>50</v>
      </c>
      <c r="W16" s="16">
        <f t="shared" si="1"/>
        <v>20</v>
      </c>
      <c r="X16" s="17">
        <f t="shared" si="2"/>
        <v>70</v>
      </c>
      <c r="Y16" s="18" t="str">
        <f t="shared" si="3"/>
        <v>B</v>
      </c>
      <c r="Z16" s="15"/>
    </row>
    <row r="17" spans="1:26" ht="15.75">
      <c r="A17" s="9">
        <v>13</v>
      </c>
      <c r="B17" s="34" t="s">
        <v>235</v>
      </c>
      <c r="C17" s="34" t="s">
        <v>236</v>
      </c>
      <c r="D17" s="34" t="s">
        <v>156</v>
      </c>
      <c r="E17" s="34" t="s">
        <v>157</v>
      </c>
      <c r="F17" s="10" t="s">
        <v>237</v>
      </c>
      <c r="G17" s="29" t="s">
        <v>238</v>
      </c>
      <c r="H17" s="9" t="s">
        <v>239</v>
      </c>
      <c r="I17" s="9" t="s">
        <v>240</v>
      </c>
      <c r="J17" s="9" t="s">
        <v>163</v>
      </c>
      <c r="K17" s="9" t="s">
        <v>163</v>
      </c>
      <c r="L17" s="9" t="s">
        <v>163</v>
      </c>
      <c r="M17" s="9" t="s">
        <v>163</v>
      </c>
      <c r="N17" s="9" t="s">
        <v>163</v>
      </c>
      <c r="O17" s="9" t="s">
        <v>163</v>
      </c>
      <c r="P17" s="30" t="s">
        <v>166</v>
      </c>
      <c r="Q17" s="10" t="s">
        <v>164</v>
      </c>
      <c r="R17" s="30" t="s">
        <v>166</v>
      </c>
      <c r="S17" s="9" t="s">
        <v>164</v>
      </c>
      <c r="T17" s="9" t="s">
        <v>163</v>
      </c>
      <c r="U17" s="9" t="s">
        <v>164</v>
      </c>
      <c r="V17" s="11">
        <f t="shared" si="0"/>
        <v>50</v>
      </c>
      <c r="W17" s="11">
        <f t="shared" si="1"/>
        <v>30</v>
      </c>
      <c r="X17" s="12">
        <f t="shared" si="2"/>
        <v>80</v>
      </c>
      <c r="Y17" s="13" t="str">
        <f t="shared" si="3"/>
        <v>A</v>
      </c>
      <c r="Z17" s="10"/>
    </row>
    <row r="18" spans="1:26" ht="15.75">
      <c r="A18" s="14">
        <v>14</v>
      </c>
      <c r="B18" s="15"/>
      <c r="C18" s="15"/>
      <c r="D18" s="15"/>
      <c r="E18" s="15"/>
      <c r="F18" s="15"/>
      <c r="G18" s="15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4"/>
      <c r="S18" s="14"/>
      <c r="T18" s="14"/>
      <c r="U18" s="14"/>
      <c r="V18" s="16" t="str">
        <f t="shared" si="0"/>
        <v/>
      </c>
      <c r="W18" s="16" t="str">
        <f t="shared" si="1"/>
        <v/>
      </c>
      <c r="X18" s="17" t="str">
        <f t="shared" si="2"/>
        <v/>
      </c>
      <c r="Y18" s="18" t="str">
        <f t="shared" si="3"/>
        <v/>
      </c>
      <c r="Z18" s="15"/>
    </row>
    <row r="19" spans="1:26" ht="15.75">
      <c r="A19" s="9">
        <v>15</v>
      </c>
      <c r="B19" s="10"/>
      <c r="C19" s="10"/>
      <c r="D19" s="10"/>
      <c r="E19" s="10"/>
      <c r="F19" s="10"/>
      <c r="G19" s="10"/>
      <c r="H19" s="9"/>
      <c r="I19" s="9"/>
      <c r="J19" s="9"/>
      <c r="K19" s="9"/>
      <c r="L19" s="9"/>
      <c r="M19" s="9"/>
      <c r="N19" s="9"/>
      <c r="O19" s="9"/>
      <c r="P19" s="9"/>
      <c r="Q19" s="10"/>
      <c r="R19" s="9"/>
      <c r="S19" s="9"/>
      <c r="T19" s="9"/>
      <c r="U19" s="9"/>
      <c r="V19" s="11" t="str">
        <f t="shared" si="0"/>
        <v/>
      </c>
      <c r="W19" s="11" t="str">
        <f t="shared" si="1"/>
        <v/>
      </c>
      <c r="X19" s="12" t="str">
        <f t="shared" si="2"/>
        <v/>
      </c>
      <c r="Y19" s="13" t="str">
        <f t="shared" si="3"/>
        <v/>
      </c>
      <c r="Z19" s="10"/>
    </row>
    <row r="20" spans="1:26" ht="15.75">
      <c r="A20" s="14">
        <v>16</v>
      </c>
      <c r="B20" s="15"/>
      <c r="C20" s="15"/>
      <c r="D20" s="15"/>
      <c r="E20" s="15"/>
      <c r="F20" s="15"/>
      <c r="G20" s="15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4"/>
      <c r="S20" s="14"/>
      <c r="T20" s="14"/>
      <c r="U20" s="14"/>
      <c r="V20" s="16" t="str">
        <f t="shared" si="0"/>
        <v/>
      </c>
      <c r="W20" s="16" t="str">
        <f t="shared" si="1"/>
        <v/>
      </c>
      <c r="X20" s="17" t="str">
        <f t="shared" si="2"/>
        <v/>
      </c>
      <c r="Y20" s="18" t="str">
        <f t="shared" si="3"/>
        <v/>
      </c>
      <c r="Z20" s="15"/>
    </row>
    <row r="21" spans="1:26" ht="15.75">
      <c r="A21" s="9">
        <v>17</v>
      </c>
      <c r="B21" s="10"/>
      <c r="C21" s="10"/>
      <c r="D21" s="10"/>
      <c r="E21" s="10"/>
      <c r="F21" s="10"/>
      <c r="G21" s="10"/>
      <c r="H21" s="9"/>
      <c r="I21" s="9"/>
      <c r="J21" s="9"/>
      <c r="K21" s="9"/>
      <c r="L21" s="9"/>
      <c r="M21" s="9"/>
      <c r="N21" s="9"/>
      <c r="O21" s="9"/>
      <c r="P21" s="9"/>
      <c r="Q21" s="10"/>
      <c r="R21" s="9"/>
      <c r="S21" s="9"/>
      <c r="T21" s="9"/>
      <c r="U21" s="9"/>
      <c r="V21" s="11" t="str">
        <f t="shared" si="0"/>
        <v/>
      </c>
      <c r="W21" s="11" t="str">
        <f t="shared" si="1"/>
        <v/>
      </c>
      <c r="X21" s="12" t="str">
        <f t="shared" si="2"/>
        <v/>
      </c>
      <c r="Y21" s="13" t="str">
        <f t="shared" si="3"/>
        <v/>
      </c>
      <c r="Z21" s="10"/>
    </row>
    <row r="22" spans="1:26" ht="15.75">
      <c r="A22" s="14">
        <v>18</v>
      </c>
      <c r="B22" s="15"/>
      <c r="C22" s="15"/>
      <c r="D22" s="15"/>
      <c r="E22" s="15"/>
      <c r="F22" s="15"/>
      <c r="G22" s="15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4"/>
      <c r="S22" s="14"/>
      <c r="T22" s="14"/>
      <c r="U22" s="14"/>
      <c r="V22" s="16" t="str">
        <f t="shared" si="0"/>
        <v/>
      </c>
      <c r="W22" s="16" t="str">
        <f t="shared" si="1"/>
        <v/>
      </c>
      <c r="X22" s="17" t="str">
        <f t="shared" si="2"/>
        <v/>
      </c>
      <c r="Y22" s="18" t="str">
        <f t="shared" si="3"/>
        <v/>
      </c>
      <c r="Z22" s="15"/>
    </row>
    <row r="23" spans="1:26" ht="15.75">
      <c r="A23" s="9">
        <v>19</v>
      </c>
      <c r="B23" s="10"/>
      <c r="C23" s="10"/>
      <c r="D23" s="10"/>
      <c r="E23" s="10"/>
      <c r="F23" s="10"/>
      <c r="G23" s="10"/>
      <c r="H23" s="9"/>
      <c r="I23" s="9"/>
      <c r="J23" s="9"/>
      <c r="K23" s="9"/>
      <c r="L23" s="9"/>
      <c r="M23" s="9"/>
      <c r="N23" s="9"/>
      <c r="O23" s="9"/>
      <c r="P23" s="9"/>
      <c r="Q23" s="10"/>
      <c r="R23" s="9"/>
      <c r="S23" s="9"/>
      <c r="T23" s="9"/>
      <c r="U23" s="9"/>
      <c r="V23" s="11" t="str">
        <f t="shared" si="0"/>
        <v/>
      </c>
      <c r="W23" s="11" t="str">
        <f t="shared" si="1"/>
        <v/>
      </c>
      <c r="X23" s="12" t="str">
        <f t="shared" si="2"/>
        <v/>
      </c>
      <c r="Y23" s="13" t="str">
        <f t="shared" si="3"/>
        <v/>
      </c>
      <c r="Z23" s="10"/>
    </row>
    <row r="24" spans="1:26" ht="15.75">
      <c r="A24" s="14">
        <v>20</v>
      </c>
      <c r="B24" s="15"/>
      <c r="C24" s="15"/>
      <c r="D24" s="15"/>
      <c r="E24" s="15"/>
      <c r="F24" s="15"/>
      <c r="G24" s="15"/>
      <c r="H24" s="14"/>
      <c r="I24" s="14"/>
      <c r="J24" s="14"/>
      <c r="K24" s="14"/>
      <c r="L24" s="14"/>
      <c r="M24" s="14"/>
      <c r="N24" s="14"/>
      <c r="O24" s="14"/>
      <c r="P24" s="14"/>
      <c r="Q24" s="15"/>
      <c r="R24" s="14"/>
      <c r="S24" s="14"/>
      <c r="T24" s="14"/>
      <c r="U24" s="14"/>
      <c r="V24" s="16" t="str">
        <f t="shared" si="0"/>
        <v/>
      </c>
      <c r="W24" s="16" t="str">
        <f t="shared" si="1"/>
        <v/>
      </c>
      <c r="X24" s="17" t="str">
        <f t="shared" si="2"/>
        <v/>
      </c>
      <c r="Y24" s="18" t="str">
        <f t="shared" si="3"/>
        <v/>
      </c>
      <c r="Z24" s="15"/>
    </row>
    <row r="25" spans="1:26" ht="15.75">
      <c r="A25" s="9">
        <v>21</v>
      </c>
      <c r="B25" s="10"/>
      <c r="C25" s="10"/>
      <c r="D25" s="10"/>
      <c r="E25" s="10"/>
      <c r="F25" s="10"/>
      <c r="G25" s="10"/>
      <c r="H25" s="9"/>
      <c r="I25" s="9"/>
      <c r="J25" s="9"/>
      <c r="K25" s="9"/>
      <c r="L25" s="9"/>
      <c r="M25" s="9"/>
      <c r="N25" s="9"/>
      <c r="O25" s="9"/>
      <c r="P25" s="9"/>
      <c r="Q25" s="10"/>
      <c r="R25" s="9"/>
      <c r="S25" s="9"/>
      <c r="T25" s="9"/>
      <c r="U25" s="9"/>
      <c r="V25" s="11" t="str">
        <f t="shared" si="0"/>
        <v/>
      </c>
      <c r="W25" s="11" t="str">
        <f t="shared" si="1"/>
        <v/>
      </c>
      <c r="X25" s="12" t="str">
        <f t="shared" si="2"/>
        <v/>
      </c>
      <c r="Y25" s="13" t="str">
        <f t="shared" si="3"/>
        <v/>
      </c>
      <c r="Z25" s="10"/>
    </row>
    <row r="26" spans="1:26" ht="15.75">
      <c r="A26" s="14">
        <v>22</v>
      </c>
      <c r="B26" s="15"/>
      <c r="C26" s="15"/>
      <c r="D26" s="15"/>
      <c r="E26" s="15"/>
      <c r="F26" s="15"/>
      <c r="G26" s="15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14"/>
      <c r="S26" s="14"/>
      <c r="T26" s="14"/>
      <c r="U26" s="14"/>
      <c r="V26" s="16" t="str">
        <f t="shared" si="0"/>
        <v/>
      </c>
      <c r="W26" s="16" t="str">
        <f t="shared" si="1"/>
        <v/>
      </c>
      <c r="X26" s="17" t="str">
        <f t="shared" si="2"/>
        <v/>
      </c>
      <c r="Y26" s="18" t="str">
        <f t="shared" si="3"/>
        <v/>
      </c>
      <c r="Z26" s="15"/>
    </row>
    <row r="27" spans="1:26" ht="15.75">
      <c r="A27" s="9">
        <v>23</v>
      </c>
      <c r="B27" s="10"/>
      <c r="C27" s="10"/>
      <c r="D27" s="10"/>
      <c r="E27" s="10"/>
      <c r="F27" s="10"/>
      <c r="G27" s="10"/>
      <c r="H27" s="9"/>
      <c r="I27" s="9"/>
      <c r="J27" s="9"/>
      <c r="K27" s="9"/>
      <c r="L27" s="9"/>
      <c r="M27" s="9"/>
      <c r="N27" s="9"/>
      <c r="O27" s="9"/>
      <c r="P27" s="9"/>
      <c r="Q27" s="10"/>
      <c r="R27" s="9"/>
      <c r="S27" s="9"/>
      <c r="T27" s="9"/>
      <c r="U27" s="9"/>
      <c r="V27" s="11" t="str">
        <f t="shared" si="0"/>
        <v/>
      </c>
      <c r="W27" s="11" t="str">
        <f t="shared" si="1"/>
        <v/>
      </c>
      <c r="X27" s="12" t="str">
        <f t="shared" si="2"/>
        <v/>
      </c>
      <c r="Y27" s="13" t="str">
        <f t="shared" si="3"/>
        <v/>
      </c>
      <c r="Z27" s="10"/>
    </row>
    <row r="28" spans="1:26" ht="15.75">
      <c r="A28" s="14">
        <v>24</v>
      </c>
      <c r="B28" s="15"/>
      <c r="C28" s="15"/>
      <c r="D28" s="15"/>
      <c r="E28" s="15"/>
      <c r="F28" s="15"/>
      <c r="G28" s="15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14"/>
      <c r="S28" s="14"/>
      <c r="T28" s="14"/>
      <c r="U28" s="14"/>
      <c r="V28" s="16" t="str">
        <f t="shared" si="0"/>
        <v/>
      </c>
      <c r="W28" s="16" t="str">
        <f t="shared" si="1"/>
        <v/>
      </c>
      <c r="X28" s="17" t="str">
        <f t="shared" si="2"/>
        <v/>
      </c>
      <c r="Y28" s="18" t="str">
        <f t="shared" si="3"/>
        <v/>
      </c>
      <c r="Z28" s="15"/>
    </row>
    <row r="29" spans="1:26" ht="15.75">
      <c r="A29" s="9">
        <v>25</v>
      </c>
      <c r="B29" s="10"/>
      <c r="C29" s="10"/>
      <c r="D29" s="10"/>
      <c r="E29" s="10"/>
      <c r="F29" s="10"/>
      <c r="G29" s="10"/>
      <c r="H29" s="9"/>
      <c r="I29" s="9"/>
      <c r="J29" s="9"/>
      <c r="K29" s="9"/>
      <c r="L29" s="9"/>
      <c r="M29" s="9"/>
      <c r="N29" s="9"/>
      <c r="O29" s="9"/>
      <c r="P29" s="9"/>
      <c r="Q29" s="10"/>
      <c r="R29" s="9"/>
      <c r="S29" s="9"/>
      <c r="T29" s="9"/>
      <c r="U29" s="9"/>
      <c r="V29" s="11" t="str">
        <f t="shared" si="0"/>
        <v/>
      </c>
      <c r="W29" s="11" t="str">
        <f t="shared" si="1"/>
        <v/>
      </c>
      <c r="X29" s="12" t="str">
        <f t="shared" si="2"/>
        <v/>
      </c>
      <c r="Y29" s="13" t="str">
        <f t="shared" si="3"/>
        <v/>
      </c>
      <c r="Z29" s="10"/>
    </row>
    <row r="30" spans="1:26" ht="15.75">
      <c r="A30" s="14">
        <v>26</v>
      </c>
      <c r="B30" s="15"/>
      <c r="C30" s="15"/>
      <c r="D30" s="15"/>
      <c r="E30" s="15"/>
      <c r="F30" s="15"/>
      <c r="G30" s="15"/>
      <c r="H30" s="14"/>
      <c r="I30" s="14"/>
      <c r="J30" s="14"/>
      <c r="K30" s="14"/>
      <c r="L30" s="14"/>
      <c r="M30" s="14"/>
      <c r="N30" s="14"/>
      <c r="O30" s="14"/>
      <c r="P30" s="14"/>
      <c r="Q30" s="15"/>
      <c r="R30" s="14"/>
      <c r="S30" s="14"/>
      <c r="T30" s="14"/>
      <c r="U30" s="14"/>
      <c r="V30" s="16" t="str">
        <f t="shared" si="0"/>
        <v/>
      </c>
      <c r="W30" s="16" t="str">
        <f t="shared" si="1"/>
        <v/>
      </c>
      <c r="X30" s="17" t="str">
        <f t="shared" si="2"/>
        <v/>
      </c>
      <c r="Y30" s="18" t="str">
        <f t="shared" si="3"/>
        <v/>
      </c>
      <c r="Z30" s="15"/>
    </row>
    <row r="31" spans="1:26" ht="15.75">
      <c r="A31" s="9">
        <v>27</v>
      </c>
      <c r="B31" s="10"/>
      <c r="C31" s="10"/>
      <c r="D31" s="10"/>
      <c r="E31" s="10"/>
      <c r="F31" s="10"/>
      <c r="G31" s="10"/>
      <c r="H31" s="9"/>
      <c r="I31" s="9"/>
      <c r="J31" s="9"/>
      <c r="K31" s="9"/>
      <c r="L31" s="9"/>
      <c r="M31" s="9"/>
      <c r="N31" s="9"/>
      <c r="O31" s="9"/>
      <c r="P31" s="9"/>
      <c r="Q31" s="10"/>
      <c r="R31" s="9"/>
      <c r="S31" s="9"/>
      <c r="T31" s="9"/>
      <c r="U31" s="9"/>
      <c r="V31" s="11" t="str">
        <f t="shared" si="0"/>
        <v/>
      </c>
      <c r="W31" s="11" t="str">
        <f t="shared" si="1"/>
        <v/>
      </c>
      <c r="X31" s="12" t="str">
        <f t="shared" si="2"/>
        <v/>
      </c>
      <c r="Y31" s="13" t="str">
        <f t="shared" si="3"/>
        <v/>
      </c>
      <c r="Z31" s="10"/>
    </row>
    <row r="32" spans="1:26" ht="15.75">
      <c r="A32" s="14">
        <v>28</v>
      </c>
      <c r="B32" s="15"/>
      <c r="C32" s="15"/>
      <c r="D32" s="15"/>
      <c r="E32" s="15"/>
      <c r="F32" s="15"/>
      <c r="G32" s="15"/>
      <c r="H32" s="14"/>
      <c r="I32" s="14"/>
      <c r="J32" s="14"/>
      <c r="K32" s="14"/>
      <c r="L32" s="14"/>
      <c r="M32" s="14"/>
      <c r="N32" s="14"/>
      <c r="O32" s="14"/>
      <c r="P32" s="14"/>
      <c r="Q32" s="15"/>
      <c r="R32" s="14"/>
      <c r="S32" s="14"/>
      <c r="T32" s="14"/>
      <c r="U32" s="14"/>
      <c r="V32" s="16" t="str">
        <f t="shared" si="0"/>
        <v/>
      </c>
      <c r="W32" s="16" t="str">
        <f t="shared" si="1"/>
        <v/>
      </c>
      <c r="X32" s="17" t="str">
        <f t="shared" si="2"/>
        <v/>
      </c>
      <c r="Y32" s="18" t="str">
        <f t="shared" si="3"/>
        <v/>
      </c>
      <c r="Z32" s="15"/>
    </row>
    <row r="33" spans="1:26" ht="15.75">
      <c r="A33" s="9">
        <v>29</v>
      </c>
      <c r="B33" s="10"/>
      <c r="C33" s="10"/>
      <c r="D33" s="10"/>
      <c r="E33" s="10"/>
      <c r="F33" s="10"/>
      <c r="G33" s="10"/>
      <c r="H33" s="9"/>
      <c r="I33" s="9"/>
      <c r="J33" s="9"/>
      <c r="K33" s="9"/>
      <c r="L33" s="9"/>
      <c r="M33" s="9"/>
      <c r="N33" s="9"/>
      <c r="O33" s="9"/>
      <c r="P33" s="9"/>
      <c r="Q33" s="10"/>
      <c r="R33" s="9"/>
      <c r="S33" s="9"/>
      <c r="T33" s="9"/>
      <c r="U33" s="9"/>
      <c r="V33" s="11" t="str">
        <f t="shared" si="0"/>
        <v/>
      </c>
      <c r="W33" s="11" t="str">
        <f t="shared" si="1"/>
        <v/>
      </c>
      <c r="X33" s="12" t="str">
        <f t="shared" si="2"/>
        <v/>
      </c>
      <c r="Y33" s="13" t="str">
        <f t="shared" si="3"/>
        <v/>
      </c>
      <c r="Z33" s="10"/>
    </row>
    <row r="34" spans="1:26" ht="15.75">
      <c r="A34" s="14">
        <v>30</v>
      </c>
      <c r="B34" s="15"/>
      <c r="C34" s="15"/>
      <c r="D34" s="15"/>
      <c r="E34" s="15"/>
      <c r="F34" s="15"/>
      <c r="G34" s="15"/>
      <c r="H34" s="14"/>
      <c r="I34" s="14"/>
      <c r="J34" s="14"/>
      <c r="K34" s="14"/>
      <c r="L34" s="14"/>
      <c r="M34" s="14"/>
      <c r="N34" s="14"/>
      <c r="O34" s="14"/>
      <c r="P34" s="14"/>
      <c r="Q34" s="15"/>
      <c r="R34" s="14"/>
      <c r="S34" s="14"/>
      <c r="T34" s="14"/>
      <c r="U34" s="14"/>
      <c r="V34" s="16" t="str">
        <f t="shared" si="0"/>
        <v/>
      </c>
      <c r="W34" s="16" t="str">
        <f t="shared" si="1"/>
        <v/>
      </c>
      <c r="X34" s="17" t="str">
        <f t="shared" si="2"/>
        <v/>
      </c>
      <c r="Y34" s="18" t="str">
        <f t="shared" si="3"/>
        <v/>
      </c>
      <c r="Z34" s="15"/>
    </row>
    <row r="35" spans="1:26" ht="15.75">
      <c r="A35" s="9">
        <v>31</v>
      </c>
      <c r="B35" s="10"/>
      <c r="C35" s="10"/>
      <c r="D35" s="10"/>
      <c r="E35" s="10"/>
      <c r="F35" s="10"/>
      <c r="G35" s="10"/>
      <c r="H35" s="9"/>
      <c r="I35" s="9"/>
      <c r="J35" s="9"/>
      <c r="K35" s="9"/>
      <c r="L35" s="9"/>
      <c r="M35" s="9"/>
      <c r="N35" s="9"/>
      <c r="O35" s="9"/>
      <c r="P35" s="9"/>
      <c r="Q35" s="10"/>
      <c r="R35" s="9"/>
      <c r="S35" s="9"/>
      <c r="T35" s="9"/>
      <c r="U35" s="9"/>
      <c r="V35" s="11" t="str">
        <f t="shared" si="0"/>
        <v/>
      </c>
      <c r="W35" s="11" t="str">
        <f t="shared" si="1"/>
        <v/>
      </c>
      <c r="X35" s="12" t="str">
        <f t="shared" si="2"/>
        <v/>
      </c>
      <c r="Y35" s="13" t="str">
        <f t="shared" si="3"/>
        <v/>
      </c>
      <c r="Z35" s="10"/>
    </row>
    <row r="36" spans="1:26" ht="15.75">
      <c r="A36" s="14">
        <v>32</v>
      </c>
      <c r="B36" s="15"/>
      <c r="C36" s="15"/>
      <c r="D36" s="15"/>
      <c r="E36" s="15"/>
      <c r="F36" s="15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5"/>
      <c r="R36" s="14"/>
      <c r="S36" s="14"/>
      <c r="T36" s="14"/>
      <c r="U36" s="14"/>
      <c r="V36" s="16" t="str">
        <f t="shared" si="0"/>
        <v/>
      </c>
      <c r="W36" s="16" t="str">
        <f t="shared" si="1"/>
        <v/>
      </c>
      <c r="X36" s="17" t="str">
        <f t="shared" si="2"/>
        <v/>
      </c>
      <c r="Y36" s="18" t="str">
        <f t="shared" si="3"/>
        <v/>
      </c>
      <c r="Z36" s="15"/>
    </row>
    <row r="37" spans="1:26" ht="15.75">
      <c r="A37" s="9">
        <v>33</v>
      </c>
      <c r="B37" s="10"/>
      <c r="C37" s="10"/>
      <c r="D37" s="10"/>
      <c r="E37" s="10"/>
      <c r="F37" s="10"/>
      <c r="G37" s="10"/>
      <c r="H37" s="9"/>
      <c r="I37" s="9"/>
      <c r="J37" s="9"/>
      <c r="K37" s="9"/>
      <c r="L37" s="9"/>
      <c r="M37" s="9"/>
      <c r="N37" s="9"/>
      <c r="O37" s="9"/>
      <c r="P37" s="9"/>
      <c r="Q37" s="10"/>
      <c r="R37" s="9"/>
      <c r="S37" s="9"/>
      <c r="T37" s="9"/>
      <c r="U37" s="9"/>
      <c r="V37" s="11" t="str">
        <f t="shared" ref="V37:V54" si="4">IF(B37="","",COUNTIF(M37:O37,"O")*10+IF(P37="상",20,IF(P37="중",10,0)))</f>
        <v/>
      </c>
      <c r="W37" s="11" t="str">
        <f t="shared" ref="W37:W54" si="5">IF(B37="","",IF(R37="상",20,IF(R37="중",10,0))+COUNTIF(S37:U37,"O")*10)</f>
        <v/>
      </c>
      <c r="X37" s="12" t="str">
        <f t="shared" ref="X37:X68" si="6">IF(B37="","",V37+W37)</f>
        <v/>
      </c>
      <c r="Y37" s="13" t="str">
        <f t="shared" ref="Y37:Y68" si="7">IF(B37="","",IF(X37&gt;=80,"A",IF(X37&gt;=60,"B",IF(X37&gt;=40,"C","D"))))</f>
        <v/>
      </c>
      <c r="Z37" s="10"/>
    </row>
    <row r="38" spans="1:26" ht="15.75">
      <c r="A38" s="14">
        <v>34</v>
      </c>
      <c r="B38" s="15"/>
      <c r="C38" s="15"/>
      <c r="D38" s="15"/>
      <c r="E38" s="15"/>
      <c r="F38" s="15"/>
      <c r="G38" s="15"/>
      <c r="H38" s="14"/>
      <c r="I38" s="14"/>
      <c r="J38" s="14"/>
      <c r="K38" s="14"/>
      <c r="L38" s="14"/>
      <c r="M38" s="14"/>
      <c r="N38" s="14"/>
      <c r="O38" s="14"/>
      <c r="P38" s="14"/>
      <c r="Q38" s="15"/>
      <c r="R38" s="14"/>
      <c r="S38" s="14"/>
      <c r="T38" s="14"/>
      <c r="U38" s="14"/>
      <c r="V38" s="16" t="str">
        <f t="shared" si="4"/>
        <v/>
      </c>
      <c r="W38" s="16" t="str">
        <f t="shared" si="5"/>
        <v/>
      </c>
      <c r="X38" s="17" t="str">
        <f t="shared" si="6"/>
        <v/>
      </c>
      <c r="Y38" s="18" t="str">
        <f t="shared" si="7"/>
        <v/>
      </c>
      <c r="Z38" s="15"/>
    </row>
    <row r="39" spans="1:26" ht="15.75">
      <c r="A39" s="9">
        <v>35</v>
      </c>
      <c r="B39" s="10"/>
      <c r="C39" s="10"/>
      <c r="D39" s="10"/>
      <c r="E39" s="10"/>
      <c r="F39" s="10"/>
      <c r="G39" s="10"/>
      <c r="H39" s="9"/>
      <c r="I39" s="9"/>
      <c r="J39" s="9"/>
      <c r="K39" s="9"/>
      <c r="L39" s="9"/>
      <c r="M39" s="9"/>
      <c r="N39" s="9"/>
      <c r="O39" s="9"/>
      <c r="P39" s="9"/>
      <c r="Q39" s="10"/>
      <c r="R39" s="9"/>
      <c r="S39" s="9"/>
      <c r="T39" s="9"/>
      <c r="U39" s="9"/>
      <c r="V39" s="11" t="str">
        <f t="shared" si="4"/>
        <v/>
      </c>
      <c r="W39" s="11" t="str">
        <f t="shared" si="5"/>
        <v/>
      </c>
      <c r="X39" s="12" t="str">
        <f t="shared" si="6"/>
        <v/>
      </c>
      <c r="Y39" s="13" t="str">
        <f t="shared" si="7"/>
        <v/>
      </c>
      <c r="Z39" s="10"/>
    </row>
    <row r="40" spans="1:26" ht="15.75">
      <c r="A40" s="14">
        <v>36</v>
      </c>
      <c r="B40" s="15"/>
      <c r="C40" s="15"/>
      <c r="D40" s="15"/>
      <c r="E40" s="15"/>
      <c r="F40" s="15"/>
      <c r="G40" s="15"/>
      <c r="H40" s="14"/>
      <c r="I40" s="14"/>
      <c r="J40" s="14"/>
      <c r="K40" s="14"/>
      <c r="L40" s="14"/>
      <c r="M40" s="14"/>
      <c r="N40" s="14"/>
      <c r="O40" s="14"/>
      <c r="P40" s="14"/>
      <c r="Q40" s="15"/>
      <c r="R40" s="14"/>
      <c r="S40" s="14"/>
      <c r="T40" s="14"/>
      <c r="U40" s="14"/>
      <c r="V40" s="16" t="str">
        <f t="shared" si="4"/>
        <v/>
      </c>
      <c r="W40" s="16" t="str">
        <f t="shared" si="5"/>
        <v/>
      </c>
      <c r="X40" s="17" t="str">
        <f t="shared" si="6"/>
        <v/>
      </c>
      <c r="Y40" s="18" t="str">
        <f t="shared" si="7"/>
        <v/>
      </c>
      <c r="Z40" s="15"/>
    </row>
    <row r="41" spans="1:26" ht="15.75">
      <c r="A41" s="9">
        <v>37</v>
      </c>
      <c r="B41" s="10"/>
      <c r="C41" s="10"/>
      <c r="D41" s="10"/>
      <c r="E41" s="10"/>
      <c r="F41" s="10"/>
      <c r="G41" s="10"/>
      <c r="H41" s="9"/>
      <c r="I41" s="9"/>
      <c r="J41" s="9"/>
      <c r="K41" s="9"/>
      <c r="L41" s="9"/>
      <c r="M41" s="9"/>
      <c r="N41" s="9"/>
      <c r="O41" s="9"/>
      <c r="P41" s="9"/>
      <c r="Q41" s="10"/>
      <c r="R41" s="9"/>
      <c r="S41" s="9"/>
      <c r="T41" s="9"/>
      <c r="U41" s="9"/>
      <c r="V41" s="11" t="str">
        <f t="shared" si="4"/>
        <v/>
      </c>
      <c r="W41" s="11" t="str">
        <f t="shared" si="5"/>
        <v/>
      </c>
      <c r="X41" s="12" t="str">
        <f t="shared" si="6"/>
        <v/>
      </c>
      <c r="Y41" s="13" t="str">
        <f t="shared" si="7"/>
        <v/>
      </c>
      <c r="Z41" s="10"/>
    </row>
    <row r="42" spans="1:26" ht="15.75">
      <c r="A42" s="14">
        <v>38</v>
      </c>
      <c r="B42" s="15"/>
      <c r="C42" s="15"/>
      <c r="D42" s="15"/>
      <c r="E42" s="15"/>
      <c r="F42" s="15"/>
      <c r="G42" s="15"/>
      <c r="H42" s="14"/>
      <c r="I42" s="14"/>
      <c r="J42" s="14"/>
      <c r="K42" s="14"/>
      <c r="L42" s="14"/>
      <c r="M42" s="14"/>
      <c r="N42" s="14"/>
      <c r="O42" s="14"/>
      <c r="P42" s="14"/>
      <c r="Q42" s="15"/>
      <c r="R42" s="14"/>
      <c r="S42" s="14"/>
      <c r="T42" s="14"/>
      <c r="U42" s="14"/>
      <c r="V42" s="16" t="str">
        <f t="shared" si="4"/>
        <v/>
      </c>
      <c r="W42" s="16" t="str">
        <f t="shared" si="5"/>
        <v/>
      </c>
      <c r="X42" s="17" t="str">
        <f t="shared" si="6"/>
        <v/>
      </c>
      <c r="Y42" s="18" t="str">
        <f t="shared" si="7"/>
        <v/>
      </c>
      <c r="Z42" s="15"/>
    </row>
    <row r="43" spans="1:26" ht="15.75">
      <c r="A43" s="9">
        <v>39</v>
      </c>
      <c r="B43" s="10"/>
      <c r="C43" s="10"/>
      <c r="D43" s="10"/>
      <c r="E43" s="10"/>
      <c r="F43" s="10"/>
      <c r="G43" s="10"/>
      <c r="H43" s="9"/>
      <c r="I43" s="9"/>
      <c r="J43" s="9"/>
      <c r="K43" s="9"/>
      <c r="L43" s="9"/>
      <c r="M43" s="9"/>
      <c r="N43" s="9"/>
      <c r="O43" s="9"/>
      <c r="P43" s="9"/>
      <c r="Q43" s="10"/>
      <c r="R43" s="9"/>
      <c r="S43" s="9"/>
      <c r="T43" s="9"/>
      <c r="U43" s="9"/>
      <c r="V43" s="11" t="str">
        <f t="shared" si="4"/>
        <v/>
      </c>
      <c r="W43" s="11" t="str">
        <f t="shared" si="5"/>
        <v/>
      </c>
      <c r="X43" s="12" t="str">
        <f t="shared" si="6"/>
        <v/>
      </c>
      <c r="Y43" s="13" t="str">
        <f t="shared" si="7"/>
        <v/>
      </c>
      <c r="Z43" s="10"/>
    </row>
    <row r="44" spans="1:26" ht="15.75">
      <c r="A44" s="14">
        <v>40</v>
      </c>
      <c r="B44" s="15"/>
      <c r="C44" s="15"/>
      <c r="D44" s="15"/>
      <c r="E44" s="15"/>
      <c r="F44" s="15"/>
      <c r="G44" s="15"/>
      <c r="H44" s="14"/>
      <c r="I44" s="14"/>
      <c r="J44" s="14"/>
      <c r="K44" s="14"/>
      <c r="L44" s="14"/>
      <c r="M44" s="14"/>
      <c r="N44" s="14"/>
      <c r="O44" s="14"/>
      <c r="P44" s="14"/>
      <c r="Q44" s="15"/>
      <c r="R44" s="14"/>
      <c r="S44" s="14"/>
      <c r="T44" s="14"/>
      <c r="U44" s="14"/>
      <c r="V44" s="16" t="str">
        <f t="shared" si="4"/>
        <v/>
      </c>
      <c r="W44" s="16" t="str">
        <f t="shared" si="5"/>
        <v/>
      </c>
      <c r="X44" s="17" t="str">
        <f t="shared" si="6"/>
        <v/>
      </c>
      <c r="Y44" s="18" t="str">
        <f t="shared" si="7"/>
        <v/>
      </c>
      <c r="Z44" s="15"/>
    </row>
    <row r="45" spans="1:26" ht="15.75">
      <c r="A45" s="9">
        <v>41</v>
      </c>
      <c r="B45" s="10"/>
      <c r="C45" s="10"/>
      <c r="D45" s="10"/>
      <c r="E45" s="10"/>
      <c r="F45" s="10"/>
      <c r="G45" s="10"/>
      <c r="H45" s="9"/>
      <c r="I45" s="9"/>
      <c r="J45" s="9"/>
      <c r="K45" s="9"/>
      <c r="L45" s="9"/>
      <c r="M45" s="9"/>
      <c r="N45" s="9"/>
      <c r="O45" s="9"/>
      <c r="P45" s="9"/>
      <c r="Q45" s="10"/>
      <c r="R45" s="9"/>
      <c r="S45" s="9"/>
      <c r="T45" s="9"/>
      <c r="U45" s="9"/>
      <c r="V45" s="11" t="str">
        <f t="shared" si="4"/>
        <v/>
      </c>
      <c r="W45" s="11" t="str">
        <f t="shared" si="5"/>
        <v/>
      </c>
      <c r="X45" s="12" t="str">
        <f t="shared" si="6"/>
        <v/>
      </c>
      <c r="Y45" s="13" t="str">
        <f t="shared" si="7"/>
        <v/>
      </c>
      <c r="Z45" s="10"/>
    </row>
    <row r="46" spans="1:26" ht="15.75">
      <c r="A46" s="14">
        <v>42</v>
      </c>
      <c r="B46" s="15"/>
      <c r="C46" s="15"/>
      <c r="D46" s="15"/>
      <c r="E46" s="15"/>
      <c r="F46" s="15"/>
      <c r="G46" s="15"/>
      <c r="H46" s="14"/>
      <c r="I46" s="14"/>
      <c r="J46" s="14"/>
      <c r="K46" s="14"/>
      <c r="L46" s="14"/>
      <c r="M46" s="14"/>
      <c r="N46" s="14"/>
      <c r="O46" s="14"/>
      <c r="P46" s="14"/>
      <c r="Q46" s="15"/>
      <c r="R46" s="14"/>
      <c r="S46" s="14"/>
      <c r="T46" s="14"/>
      <c r="U46" s="14"/>
      <c r="V46" s="16" t="str">
        <f t="shared" si="4"/>
        <v/>
      </c>
      <c r="W46" s="16" t="str">
        <f t="shared" si="5"/>
        <v/>
      </c>
      <c r="X46" s="17" t="str">
        <f t="shared" si="6"/>
        <v/>
      </c>
      <c r="Y46" s="18" t="str">
        <f t="shared" si="7"/>
        <v/>
      </c>
      <c r="Z46" s="15"/>
    </row>
    <row r="47" spans="1:26" ht="15.75">
      <c r="A47" s="9">
        <v>43</v>
      </c>
      <c r="B47" s="10"/>
      <c r="C47" s="10"/>
      <c r="D47" s="10"/>
      <c r="E47" s="1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10"/>
      <c r="R47" s="9"/>
      <c r="S47" s="9"/>
      <c r="T47" s="9"/>
      <c r="U47" s="9"/>
      <c r="V47" s="11" t="str">
        <f t="shared" si="4"/>
        <v/>
      </c>
      <c r="W47" s="11" t="str">
        <f t="shared" si="5"/>
        <v/>
      </c>
      <c r="X47" s="12" t="str">
        <f t="shared" si="6"/>
        <v/>
      </c>
      <c r="Y47" s="13" t="str">
        <f t="shared" si="7"/>
        <v/>
      </c>
      <c r="Z47" s="10"/>
    </row>
    <row r="48" spans="1:26" ht="15.75">
      <c r="A48" s="14">
        <v>44</v>
      </c>
      <c r="B48" s="15"/>
      <c r="C48" s="15"/>
      <c r="D48" s="15"/>
      <c r="E48" s="15"/>
      <c r="F48" s="15"/>
      <c r="G48" s="15"/>
      <c r="H48" s="14"/>
      <c r="I48" s="14"/>
      <c r="J48" s="14"/>
      <c r="K48" s="14"/>
      <c r="L48" s="14"/>
      <c r="M48" s="14"/>
      <c r="N48" s="14"/>
      <c r="O48" s="14"/>
      <c r="P48" s="14"/>
      <c r="Q48" s="15"/>
      <c r="R48" s="14"/>
      <c r="S48" s="14"/>
      <c r="T48" s="14"/>
      <c r="U48" s="14"/>
      <c r="V48" s="16" t="str">
        <f t="shared" si="4"/>
        <v/>
      </c>
      <c r="W48" s="16" t="str">
        <f t="shared" si="5"/>
        <v/>
      </c>
      <c r="X48" s="17" t="str">
        <f t="shared" si="6"/>
        <v/>
      </c>
      <c r="Y48" s="18" t="str">
        <f t="shared" si="7"/>
        <v/>
      </c>
      <c r="Z48" s="15"/>
    </row>
    <row r="49" spans="1:26" ht="15.75">
      <c r="A49" s="9">
        <v>45</v>
      </c>
      <c r="B49" s="10"/>
      <c r="C49" s="10"/>
      <c r="D49" s="10"/>
      <c r="E49" s="10"/>
      <c r="F49" s="10"/>
      <c r="G49" s="10"/>
      <c r="H49" s="9"/>
      <c r="I49" s="9"/>
      <c r="J49" s="9"/>
      <c r="K49" s="9"/>
      <c r="L49" s="9"/>
      <c r="M49" s="9"/>
      <c r="N49" s="9"/>
      <c r="O49" s="9"/>
      <c r="P49" s="9"/>
      <c r="Q49" s="10"/>
      <c r="R49" s="9"/>
      <c r="S49" s="9"/>
      <c r="T49" s="9"/>
      <c r="U49" s="9"/>
      <c r="V49" s="11" t="str">
        <f t="shared" si="4"/>
        <v/>
      </c>
      <c r="W49" s="11" t="str">
        <f t="shared" si="5"/>
        <v/>
      </c>
      <c r="X49" s="12" t="str">
        <f t="shared" si="6"/>
        <v/>
      </c>
      <c r="Y49" s="13" t="str">
        <f t="shared" si="7"/>
        <v/>
      </c>
      <c r="Z49" s="10"/>
    </row>
    <row r="50" spans="1:26" ht="15.75">
      <c r="A50" s="14">
        <v>46</v>
      </c>
      <c r="B50" s="15"/>
      <c r="C50" s="15"/>
      <c r="D50" s="15"/>
      <c r="E50" s="15"/>
      <c r="F50" s="15"/>
      <c r="G50" s="15"/>
      <c r="H50" s="14"/>
      <c r="I50" s="14"/>
      <c r="J50" s="14"/>
      <c r="K50" s="14"/>
      <c r="L50" s="14"/>
      <c r="M50" s="14"/>
      <c r="N50" s="14"/>
      <c r="O50" s="14"/>
      <c r="P50" s="14"/>
      <c r="Q50" s="15"/>
      <c r="R50" s="14"/>
      <c r="S50" s="14"/>
      <c r="T50" s="14"/>
      <c r="U50" s="14"/>
      <c r="V50" s="16" t="str">
        <f t="shared" si="4"/>
        <v/>
      </c>
      <c r="W50" s="16" t="str">
        <f t="shared" si="5"/>
        <v/>
      </c>
      <c r="X50" s="17" t="str">
        <f t="shared" si="6"/>
        <v/>
      </c>
      <c r="Y50" s="18" t="str">
        <f t="shared" si="7"/>
        <v/>
      </c>
      <c r="Z50" s="15"/>
    </row>
    <row r="51" spans="1:26" ht="15.75">
      <c r="A51" s="9">
        <v>47</v>
      </c>
      <c r="B51" s="10"/>
      <c r="C51" s="10"/>
      <c r="D51" s="10"/>
      <c r="E51" s="10"/>
      <c r="F51" s="10"/>
      <c r="G51" s="10"/>
      <c r="H51" s="9"/>
      <c r="I51" s="9"/>
      <c r="J51" s="9"/>
      <c r="K51" s="9"/>
      <c r="L51" s="9"/>
      <c r="M51" s="9"/>
      <c r="N51" s="9"/>
      <c r="O51" s="9"/>
      <c r="P51" s="9"/>
      <c r="Q51" s="10"/>
      <c r="R51" s="9"/>
      <c r="S51" s="9"/>
      <c r="T51" s="9"/>
      <c r="U51" s="9"/>
      <c r="V51" s="11" t="str">
        <f t="shared" si="4"/>
        <v/>
      </c>
      <c r="W51" s="11" t="str">
        <f t="shared" si="5"/>
        <v/>
      </c>
      <c r="X51" s="12" t="str">
        <f t="shared" si="6"/>
        <v/>
      </c>
      <c r="Y51" s="13" t="str">
        <f t="shared" si="7"/>
        <v/>
      </c>
      <c r="Z51" s="10"/>
    </row>
    <row r="52" spans="1:26" ht="15.75">
      <c r="A52" s="14">
        <v>48</v>
      </c>
      <c r="B52" s="15"/>
      <c r="C52" s="15"/>
      <c r="D52" s="15"/>
      <c r="E52" s="15"/>
      <c r="F52" s="15"/>
      <c r="G52" s="15"/>
      <c r="H52" s="14"/>
      <c r="I52" s="14"/>
      <c r="J52" s="14"/>
      <c r="K52" s="14"/>
      <c r="L52" s="14"/>
      <c r="M52" s="14"/>
      <c r="N52" s="14"/>
      <c r="O52" s="14"/>
      <c r="P52" s="14"/>
      <c r="Q52" s="15"/>
      <c r="R52" s="14"/>
      <c r="S52" s="14"/>
      <c r="T52" s="14"/>
      <c r="U52" s="14"/>
      <c r="V52" s="16" t="str">
        <f t="shared" si="4"/>
        <v/>
      </c>
      <c r="W52" s="16" t="str">
        <f t="shared" si="5"/>
        <v/>
      </c>
      <c r="X52" s="17" t="str">
        <f t="shared" si="6"/>
        <v/>
      </c>
      <c r="Y52" s="18" t="str">
        <f t="shared" si="7"/>
        <v/>
      </c>
      <c r="Z52" s="15"/>
    </row>
    <row r="53" spans="1:26" ht="15.75">
      <c r="A53" s="9">
        <v>49</v>
      </c>
      <c r="B53" s="10"/>
      <c r="C53" s="10"/>
      <c r="D53" s="10"/>
      <c r="E53" s="10"/>
      <c r="F53" s="10"/>
      <c r="G53" s="10"/>
      <c r="H53" s="9"/>
      <c r="I53" s="9"/>
      <c r="J53" s="9"/>
      <c r="K53" s="9"/>
      <c r="L53" s="9"/>
      <c r="M53" s="9"/>
      <c r="N53" s="9"/>
      <c r="O53" s="9"/>
      <c r="P53" s="9"/>
      <c r="Q53" s="10"/>
      <c r="R53" s="9"/>
      <c r="S53" s="9"/>
      <c r="T53" s="9"/>
      <c r="U53" s="9"/>
      <c r="V53" s="11" t="str">
        <f t="shared" si="4"/>
        <v/>
      </c>
      <c r="W53" s="11" t="str">
        <f t="shared" si="5"/>
        <v/>
      </c>
      <c r="X53" s="12" t="str">
        <f t="shared" si="6"/>
        <v/>
      </c>
      <c r="Y53" s="13" t="str">
        <f t="shared" si="7"/>
        <v/>
      </c>
      <c r="Z53" s="10"/>
    </row>
    <row r="54" spans="1:26" ht="15.75">
      <c r="A54" s="14">
        <v>50</v>
      </c>
      <c r="B54" s="15"/>
      <c r="C54" s="15"/>
      <c r="D54" s="15"/>
      <c r="E54" s="15"/>
      <c r="F54" s="15"/>
      <c r="G54" s="15"/>
      <c r="H54" s="14"/>
      <c r="I54" s="14"/>
      <c r="J54" s="14"/>
      <c r="K54" s="14"/>
      <c r="L54" s="14"/>
      <c r="M54" s="14"/>
      <c r="N54" s="14"/>
      <c r="O54" s="14"/>
      <c r="P54" s="14"/>
      <c r="Q54" s="15"/>
      <c r="R54" s="14"/>
      <c r="S54" s="14"/>
      <c r="T54" s="14"/>
      <c r="U54" s="14"/>
      <c r="V54" s="16" t="str">
        <f t="shared" si="4"/>
        <v/>
      </c>
      <c r="W54" s="16" t="str">
        <f t="shared" si="5"/>
        <v/>
      </c>
      <c r="X54" s="17" t="str">
        <f t="shared" si="6"/>
        <v/>
      </c>
      <c r="Y54" s="18" t="str">
        <f t="shared" si="7"/>
        <v/>
      </c>
      <c r="Z54" s="15"/>
    </row>
    <row r="56" spans="1:26" ht="15.75">
      <c r="A56" s="3" t="s">
        <v>33</v>
      </c>
      <c r="B56" s="3"/>
      <c r="C56" s="3"/>
      <c r="D56" s="19" t="s">
        <v>34</v>
      </c>
      <c r="E56" s="20">
        <f>COUNTIF(Y5:Y54,"A")</f>
        <v>5</v>
      </c>
      <c r="F56" s="19" t="s">
        <v>35</v>
      </c>
      <c r="G56" s="20">
        <f>COUNTIF(Y5:Y54,"B")</f>
        <v>7</v>
      </c>
      <c r="H56" s="19" t="s">
        <v>36</v>
      </c>
      <c r="I56" s="20">
        <f>COUNTIF(Y5:Y54,"C")</f>
        <v>0</v>
      </c>
      <c r="J56" s="19" t="s">
        <v>37</v>
      </c>
      <c r="K56" s="20">
        <f>COUNTIF(Y5:Y54,"D")</f>
        <v>1</v>
      </c>
    </row>
    <row r="57" spans="1:26">
      <c r="A57" s="2" t="s">
        <v>38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</sheetData>
  <autoFilter ref="A4:Z54" xr:uid="{00000000-0009-0000-0000-000000000000}"/>
  <mergeCells count="9">
    <mergeCell ref="A56:C56"/>
    <mergeCell ref="A57:Z57"/>
    <mergeCell ref="A1:Z1"/>
    <mergeCell ref="A2:Z2"/>
    <mergeCell ref="A3:G3"/>
    <mergeCell ref="H3:L3"/>
    <mergeCell ref="M3:Q3"/>
    <mergeCell ref="R3:U3"/>
    <mergeCell ref="V3:Z3"/>
  </mergeCells>
  <phoneticPr fontId="20" type="noConversion"/>
  <conditionalFormatting sqref="Y5:Y54">
    <cfRule type="cellIs" dxfId="7" priority="2" operator="equal">
      <formula>"A"</formula>
    </cfRule>
    <cfRule type="cellIs" dxfId="6" priority="3" operator="equal">
      <formula>"B"</formula>
    </cfRule>
    <cfRule type="cellIs" dxfId="5" priority="4" operator="equal">
      <formula>"C"</formula>
    </cfRule>
    <cfRule type="cellIs" dxfId="4" priority="5" operator="equal">
      <formula>"D"</formula>
    </cfRule>
  </conditionalFormatting>
  <conditionalFormatting sqref="X5:X54">
    <cfRule type="cellIs" dxfId="3" priority="6" operator="greaterThanOrEqual">
      <formula>80</formula>
    </cfRule>
    <cfRule type="cellIs" dxfId="2" priority="7" operator="between">
      <formula>60</formula>
      <formula>79</formula>
    </cfRule>
  </conditionalFormatting>
  <dataValidations count="4">
    <dataValidation type="list" allowBlank="1" errorTitle="입력 오류" error="O 또는 X를 입력하세요" sqref="J5:O54 S5:U54" xr:uid="{00000000-0002-0000-0000-000000000000}">
      <formula1>"O,X"</formula1>
      <formula2>0</formula2>
    </dataValidation>
    <dataValidation type="list" allowBlank="1" sqref="P5:P54 R5:R54" xr:uid="{00000000-0002-0000-0000-000001000000}">
      <formula1>"상,중,하"</formula1>
      <formula2>0</formula2>
    </dataValidation>
    <dataValidation type="list" allowBlank="1" sqref="E5:E54" xr:uid="{00000000-0002-0000-0000-000002000000}">
      <formula1>"신규등록,양도양수,분할합병,기타"</formula1>
      <formula2>0</formula2>
    </dataValidation>
    <dataValidation type="list" allowBlank="1" sqref="D5:D54" xr:uid="{00000000-0002-0000-0000-000003000000}">
      <formula1>"종합-토건,종합-토목,종합-건축,종합-산업설비,종합-조경,전문-실내건축,전문-금속창호,전문-도장,전문-방수,전문-비계구조물,전문-상하수도,전문-철근콘크리트,전문-포장,전문-기타,전기공사업(1종),전기공사업(2종),정보통신공사업,소방시설공사업(설계),소방시설공사업(시공),소방시설공사업(감리),소방시설관리업,석면해체제거업,기타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H16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22" customWidth="1"/>
    <col min="2" max="2" width="16" customWidth="1"/>
    <col min="3" max="4" width="14" customWidth="1"/>
    <col min="5" max="5" width="12" customWidth="1"/>
    <col min="6" max="6" width="18" customWidth="1"/>
    <col min="7" max="7" width="20" customWidth="1"/>
    <col min="8" max="8" width="28" customWidth="1"/>
  </cols>
  <sheetData>
    <row r="1" spans="1:8" ht="18">
      <c r="A1" s="1" t="s">
        <v>39</v>
      </c>
      <c r="B1" s="1"/>
      <c r="C1" s="1"/>
      <c r="D1" s="1"/>
      <c r="E1" s="1"/>
      <c r="F1" s="1"/>
      <c r="G1" s="1"/>
      <c r="H1" s="1"/>
    </row>
    <row r="2" spans="1:8" ht="45">
      <c r="A2" s="21" t="s">
        <v>10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44</v>
      </c>
      <c r="G2" s="21" t="s">
        <v>45</v>
      </c>
      <c r="H2" s="21" t="s">
        <v>46</v>
      </c>
    </row>
    <row r="3" spans="1:8" ht="25.5">
      <c r="A3" s="22" t="s">
        <v>47</v>
      </c>
      <c r="B3" s="22" t="s">
        <v>48</v>
      </c>
      <c r="C3" s="10" t="s">
        <v>49</v>
      </c>
      <c r="D3" s="10" t="s">
        <v>50</v>
      </c>
      <c r="E3" s="10" t="s">
        <v>51</v>
      </c>
      <c r="F3" s="22" t="s">
        <v>52</v>
      </c>
      <c r="G3" s="22" t="s">
        <v>53</v>
      </c>
      <c r="H3" s="10" t="s">
        <v>54</v>
      </c>
    </row>
    <row r="4" spans="1:8">
      <c r="A4" s="23" t="s">
        <v>55</v>
      </c>
      <c r="B4" s="23" t="s">
        <v>48</v>
      </c>
      <c r="C4" s="15" t="s">
        <v>49</v>
      </c>
      <c r="D4" s="15" t="s">
        <v>50</v>
      </c>
      <c r="E4" s="15" t="s">
        <v>56</v>
      </c>
      <c r="F4" s="23" t="s">
        <v>57</v>
      </c>
      <c r="G4" s="23" t="s">
        <v>58</v>
      </c>
      <c r="H4" s="23" t="s">
        <v>59</v>
      </c>
    </row>
    <row r="5" spans="1:8">
      <c r="A5" s="22" t="s">
        <v>60</v>
      </c>
      <c r="B5" s="22" t="s">
        <v>48</v>
      </c>
      <c r="C5" s="10" t="s">
        <v>49</v>
      </c>
      <c r="D5" s="10" t="s">
        <v>50</v>
      </c>
      <c r="E5" s="10" t="s">
        <v>56</v>
      </c>
      <c r="F5" s="22" t="s">
        <v>61</v>
      </c>
      <c r="G5" s="22" t="s">
        <v>62</v>
      </c>
      <c r="H5" s="22" t="s">
        <v>63</v>
      </c>
    </row>
    <row r="6" spans="1:8">
      <c r="A6" s="23" t="s">
        <v>64</v>
      </c>
      <c r="B6" s="23" t="s">
        <v>48</v>
      </c>
      <c r="C6" s="15" t="s">
        <v>65</v>
      </c>
      <c r="D6" s="15" t="s">
        <v>66</v>
      </c>
      <c r="E6" s="15" t="s">
        <v>67</v>
      </c>
      <c r="F6" s="23" t="s">
        <v>68</v>
      </c>
      <c r="G6" s="23" t="s">
        <v>69</v>
      </c>
      <c r="H6" s="23" t="s">
        <v>70</v>
      </c>
    </row>
    <row r="7" spans="1:8">
      <c r="A7" s="22" t="s">
        <v>71</v>
      </c>
      <c r="B7" s="22" t="s">
        <v>48</v>
      </c>
      <c r="C7" s="10" t="s">
        <v>65</v>
      </c>
      <c r="D7" s="10" t="s">
        <v>66</v>
      </c>
      <c r="E7" s="10" t="s">
        <v>67</v>
      </c>
      <c r="F7" s="22" t="s">
        <v>72</v>
      </c>
      <c r="G7" s="22" t="s">
        <v>73</v>
      </c>
      <c r="H7" s="22" t="s">
        <v>74</v>
      </c>
    </row>
    <row r="8" spans="1:8">
      <c r="A8" s="23" t="s">
        <v>75</v>
      </c>
      <c r="B8" s="23" t="s">
        <v>48</v>
      </c>
      <c r="C8" s="15" t="s">
        <v>65</v>
      </c>
      <c r="D8" s="15" t="s">
        <v>66</v>
      </c>
      <c r="E8" s="15" t="s">
        <v>67</v>
      </c>
      <c r="F8" s="23" t="s">
        <v>76</v>
      </c>
      <c r="G8" s="23" t="s">
        <v>77</v>
      </c>
      <c r="H8" s="23" t="s">
        <v>78</v>
      </c>
    </row>
    <row r="9" spans="1:8">
      <c r="A9" s="22" t="s">
        <v>79</v>
      </c>
      <c r="B9" s="22" t="s">
        <v>48</v>
      </c>
      <c r="C9" s="10" t="s">
        <v>65</v>
      </c>
      <c r="D9" s="10" t="s">
        <v>66</v>
      </c>
      <c r="E9" s="10" t="s">
        <v>67</v>
      </c>
      <c r="F9" s="22" t="s">
        <v>80</v>
      </c>
      <c r="G9" s="22" t="s">
        <v>81</v>
      </c>
      <c r="H9" s="22" t="s">
        <v>82</v>
      </c>
    </row>
    <row r="10" spans="1:8">
      <c r="A10" s="23" t="s">
        <v>83</v>
      </c>
      <c r="B10" s="23" t="s">
        <v>48</v>
      </c>
      <c r="C10" s="15" t="s">
        <v>65</v>
      </c>
      <c r="D10" s="15" t="s">
        <v>66</v>
      </c>
      <c r="E10" s="15" t="s">
        <v>67</v>
      </c>
      <c r="F10" s="23" t="s">
        <v>84</v>
      </c>
      <c r="G10" s="23" t="s">
        <v>85</v>
      </c>
      <c r="H10" s="23" t="s">
        <v>86</v>
      </c>
    </row>
    <row r="11" spans="1:8" ht="25.5">
      <c r="A11" s="22" t="s">
        <v>87</v>
      </c>
      <c r="B11" s="22" t="s">
        <v>88</v>
      </c>
      <c r="C11" s="10" t="s">
        <v>89</v>
      </c>
      <c r="D11" s="10" t="s">
        <v>66</v>
      </c>
      <c r="E11" s="10" t="s">
        <v>67</v>
      </c>
      <c r="F11" s="22" t="s">
        <v>57</v>
      </c>
      <c r="G11" s="22" t="s">
        <v>90</v>
      </c>
      <c r="H11" s="22" t="s">
        <v>91</v>
      </c>
    </row>
    <row r="12" spans="1:8" ht="25.5">
      <c r="A12" s="23" t="s">
        <v>92</v>
      </c>
      <c r="B12" s="23" t="s">
        <v>88</v>
      </c>
      <c r="C12" s="15" t="s">
        <v>89</v>
      </c>
      <c r="D12" s="15" t="s">
        <v>66</v>
      </c>
      <c r="E12" s="23" t="s">
        <v>93</v>
      </c>
      <c r="F12" s="23" t="s">
        <v>94</v>
      </c>
      <c r="G12" s="15" t="s">
        <v>95</v>
      </c>
      <c r="H12" s="23" t="s">
        <v>96</v>
      </c>
    </row>
    <row r="13" spans="1:8" ht="25.5">
      <c r="A13" s="22" t="s">
        <v>97</v>
      </c>
      <c r="B13" s="22" t="s">
        <v>98</v>
      </c>
      <c r="C13" s="10" t="s">
        <v>89</v>
      </c>
      <c r="D13" s="10" t="s">
        <v>66</v>
      </c>
      <c r="E13" s="10" t="s">
        <v>67</v>
      </c>
      <c r="F13" s="22" t="s">
        <v>72</v>
      </c>
      <c r="G13" s="10" t="s">
        <v>99</v>
      </c>
      <c r="H13" s="22" t="s">
        <v>100</v>
      </c>
    </row>
    <row r="14" spans="1:8" ht="25.5">
      <c r="A14" s="23" t="s">
        <v>101</v>
      </c>
      <c r="B14" s="23" t="s">
        <v>102</v>
      </c>
      <c r="C14" s="15" t="s">
        <v>89</v>
      </c>
      <c r="D14" s="15" t="s">
        <v>66</v>
      </c>
      <c r="E14" s="15" t="s">
        <v>67</v>
      </c>
      <c r="F14" s="23" t="s">
        <v>103</v>
      </c>
      <c r="G14" s="23" t="s">
        <v>104</v>
      </c>
      <c r="H14" s="23" t="s">
        <v>105</v>
      </c>
    </row>
    <row r="15" spans="1:8">
      <c r="A15" s="22" t="s">
        <v>106</v>
      </c>
      <c r="B15" s="22" t="s">
        <v>102</v>
      </c>
      <c r="C15" s="22" t="s">
        <v>107</v>
      </c>
      <c r="D15" s="22" t="s">
        <v>107</v>
      </c>
      <c r="E15" s="22" t="s">
        <v>108</v>
      </c>
      <c r="F15" s="22" t="s">
        <v>103</v>
      </c>
      <c r="G15" s="22" t="s">
        <v>109</v>
      </c>
      <c r="H15" s="22" t="s">
        <v>110</v>
      </c>
    </row>
    <row r="16" spans="1:8">
      <c r="A16" s="23" t="s">
        <v>111</v>
      </c>
      <c r="B16" s="23" t="s">
        <v>112</v>
      </c>
      <c r="C16" s="15" t="s">
        <v>89</v>
      </c>
      <c r="D16" s="15" t="s">
        <v>66</v>
      </c>
      <c r="E16" s="23" t="s">
        <v>108</v>
      </c>
      <c r="F16" s="23" t="s">
        <v>113</v>
      </c>
      <c r="G16" s="23" t="s">
        <v>114</v>
      </c>
      <c r="H16" s="23" t="s">
        <v>115</v>
      </c>
    </row>
  </sheetData>
  <mergeCells count="1">
    <mergeCell ref="A1:H1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J5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2" width="18" customWidth="1"/>
    <col min="3" max="3" width="12" customWidth="1"/>
    <col min="4" max="4" width="14" customWidth="1"/>
    <col min="5" max="5" width="12" customWidth="1"/>
    <col min="6" max="7" width="10" customWidth="1"/>
    <col min="8" max="8" width="14" customWidth="1"/>
    <col min="9" max="9" width="12" customWidth="1"/>
    <col min="10" max="10" width="25" customWidth="1"/>
  </cols>
  <sheetData>
    <row r="1" spans="1:10" ht="18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5" t="s">
        <v>117</v>
      </c>
      <c r="B2" s="5"/>
      <c r="C2" s="5"/>
      <c r="D2" s="5"/>
      <c r="E2" s="5"/>
      <c r="F2" s="5"/>
      <c r="G2" s="5"/>
      <c r="H2" s="5"/>
      <c r="I2" s="5"/>
      <c r="J2" s="5"/>
    </row>
    <row r="3" spans="1:10" ht="45">
      <c r="A3" s="21" t="s">
        <v>118</v>
      </c>
      <c r="B3" s="21" t="s">
        <v>10</v>
      </c>
      <c r="C3" s="21" t="s">
        <v>119</v>
      </c>
      <c r="D3" s="21" t="s">
        <v>120</v>
      </c>
      <c r="E3" s="21" t="s">
        <v>121</v>
      </c>
      <c r="F3" s="21" t="s">
        <v>122</v>
      </c>
      <c r="G3" s="21" t="s">
        <v>123</v>
      </c>
      <c r="H3" s="21" t="s">
        <v>124</v>
      </c>
      <c r="I3" s="21" t="s">
        <v>125</v>
      </c>
      <c r="J3" s="21" t="s">
        <v>126</v>
      </c>
    </row>
    <row r="4" spans="1:10">
      <c r="A4" s="14"/>
      <c r="B4" s="14"/>
      <c r="C4" s="14"/>
      <c r="D4" s="14"/>
      <c r="E4" s="14"/>
      <c r="F4" s="14"/>
      <c r="G4" s="14"/>
      <c r="H4" s="24" t="str">
        <f t="shared" ref="H4:H35" si="0">IF(OR(C4="",E4="",E4=0),"",ROUND(C4/E4,1))</f>
        <v/>
      </c>
      <c r="I4" s="14" t="str">
        <f t="shared" ref="I4:I35" si="1">IF(F4="","",IF(F4=0,"★블루오션",IF(F4&lt;=2,"유망","경쟁있음")))</f>
        <v/>
      </c>
      <c r="J4" s="15"/>
    </row>
    <row r="5" spans="1:10">
      <c r="A5" s="9"/>
      <c r="B5" s="9"/>
      <c r="C5" s="9"/>
      <c r="D5" s="9"/>
      <c r="E5" s="9"/>
      <c r="F5" s="9"/>
      <c r="G5" s="9"/>
      <c r="H5" s="25" t="str">
        <f t="shared" si="0"/>
        <v/>
      </c>
      <c r="I5" s="9" t="str">
        <f t="shared" si="1"/>
        <v/>
      </c>
      <c r="J5" s="10"/>
    </row>
    <row r="6" spans="1:10">
      <c r="A6" s="14"/>
      <c r="B6" s="14"/>
      <c r="C6" s="14"/>
      <c r="D6" s="14"/>
      <c r="E6" s="14"/>
      <c r="F6" s="14"/>
      <c r="G6" s="14"/>
      <c r="H6" s="24" t="str">
        <f t="shared" si="0"/>
        <v/>
      </c>
      <c r="I6" s="14" t="str">
        <f t="shared" si="1"/>
        <v/>
      </c>
      <c r="J6" s="15"/>
    </row>
    <row r="7" spans="1:10">
      <c r="A7" s="9"/>
      <c r="B7" s="9"/>
      <c r="C7" s="9"/>
      <c r="D7" s="9"/>
      <c r="E7" s="9"/>
      <c r="F7" s="9"/>
      <c r="G7" s="9"/>
      <c r="H7" s="25" t="str">
        <f t="shared" si="0"/>
        <v/>
      </c>
      <c r="I7" s="9" t="str">
        <f t="shared" si="1"/>
        <v/>
      </c>
      <c r="J7" s="10"/>
    </row>
    <row r="8" spans="1:10">
      <c r="A8" s="14"/>
      <c r="B8" s="14"/>
      <c r="C8" s="14"/>
      <c r="D8" s="14"/>
      <c r="E8" s="14"/>
      <c r="F8" s="14"/>
      <c r="G8" s="14"/>
      <c r="H8" s="24" t="str">
        <f t="shared" si="0"/>
        <v/>
      </c>
      <c r="I8" s="14" t="str">
        <f t="shared" si="1"/>
        <v/>
      </c>
      <c r="J8" s="15"/>
    </row>
    <row r="9" spans="1:10">
      <c r="A9" s="9"/>
      <c r="B9" s="9"/>
      <c r="C9" s="9"/>
      <c r="D9" s="9"/>
      <c r="E9" s="9"/>
      <c r="F9" s="9"/>
      <c r="G9" s="9"/>
      <c r="H9" s="25" t="str">
        <f t="shared" si="0"/>
        <v/>
      </c>
      <c r="I9" s="9" t="str">
        <f t="shared" si="1"/>
        <v/>
      </c>
      <c r="J9" s="10"/>
    </row>
    <row r="10" spans="1:10">
      <c r="A10" s="14"/>
      <c r="B10" s="14"/>
      <c r="C10" s="14"/>
      <c r="D10" s="14"/>
      <c r="E10" s="14"/>
      <c r="F10" s="14"/>
      <c r="G10" s="14"/>
      <c r="H10" s="24" t="str">
        <f t="shared" si="0"/>
        <v/>
      </c>
      <c r="I10" s="14" t="str">
        <f t="shared" si="1"/>
        <v/>
      </c>
      <c r="J10" s="15"/>
    </row>
    <row r="11" spans="1:10">
      <c r="A11" s="9"/>
      <c r="B11" s="9"/>
      <c r="C11" s="9"/>
      <c r="D11" s="9"/>
      <c r="E11" s="9"/>
      <c r="F11" s="9"/>
      <c r="G11" s="9"/>
      <c r="H11" s="25" t="str">
        <f t="shared" si="0"/>
        <v/>
      </c>
      <c r="I11" s="9" t="str">
        <f t="shared" si="1"/>
        <v/>
      </c>
      <c r="J11" s="10"/>
    </row>
    <row r="12" spans="1:10">
      <c r="A12" s="14"/>
      <c r="B12" s="14"/>
      <c r="C12" s="14"/>
      <c r="D12" s="14"/>
      <c r="E12" s="14"/>
      <c r="F12" s="14"/>
      <c r="G12" s="14"/>
      <c r="H12" s="24" t="str">
        <f t="shared" si="0"/>
        <v/>
      </c>
      <c r="I12" s="14" t="str">
        <f t="shared" si="1"/>
        <v/>
      </c>
      <c r="J12" s="15"/>
    </row>
    <row r="13" spans="1:10">
      <c r="A13" s="9"/>
      <c r="B13" s="9"/>
      <c r="C13" s="9"/>
      <c r="D13" s="9"/>
      <c r="E13" s="9"/>
      <c r="F13" s="9"/>
      <c r="G13" s="9"/>
      <c r="H13" s="25" t="str">
        <f t="shared" si="0"/>
        <v/>
      </c>
      <c r="I13" s="9" t="str">
        <f t="shared" si="1"/>
        <v/>
      </c>
      <c r="J13" s="10"/>
    </row>
    <row r="14" spans="1:10">
      <c r="A14" s="14"/>
      <c r="B14" s="14"/>
      <c r="C14" s="14"/>
      <c r="D14" s="14"/>
      <c r="E14" s="14"/>
      <c r="F14" s="14"/>
      <c r="G14" s="14"/>
      <c r="H14" s="24" t="str">
        <f t="shared" si="0"/>
        <v/>
      </c>
      <c r="I14" s="14" t="str">
        <f t="shared" si="1"/>
        <v/>
      </c>
      <c r="J14" s="15"/>
    </row>
    <row r="15" spans="1:10">
      <c r="A15" s="9"/>
      <c r="B15" s="9"/>
      <c r="C15" s="9"/>
      <c r="D15" s="9"/>
      <c r="E15" s="9"/>
      <c r="F15" s="9"/>
      <c r="G15" s="9"/>
      <c r="H15" s="25" t="str">
        <f t="shared" si="0"/>
        <v/>
      </c>
      <c r="I15" s="9" t="str">
        <f t="shared" si="1"/>
        <v/>
      </c>
      <c r="J15" s="10"/>
    </row>
    <row r="16" spans="1:10">
      <c r="A16" s="14"/>
      <c r="B16" s="14"/>
      <c r="C16" s="14"/>
      <c r="D16" s="14"/>
      <c r="E16" s="14"/>
      <c r="F16" s="14"/>
      <c r="G16" s="14"/>
      <c r="H16" s="24" t="str">
        <f t="shared" si="0"/>
        <v/>
      </c>
      <c r="I16" s="14" t="str">
        <f t="shared" si="1"/>
        <v/>
      </c>
      <c r="J16" s="15"/>
    </row>
    <row r="17" spans="1:10">
      <c r="A17" s="9"/>
      <c r="B17" s="9"/>
      <c r="C17" s="9"/>
      <c r="D17" s="9"/>
      <c r="E17" s="9"/>
      <c r="F17" s="9"/>
      <c r="G17" s="9"/>
      <c r="H17" s="25" t="str">
        <f t="shared" si="0"/>
        <v/>
      </c>
      <c r="I17" s="9" t="str">
        <f t="shared" si="1"/>
        <v/>
      </c>
      <c r="J17" s="10"/>
    </row>
    <row r="18" spans="1:10">
      <c r="A18" s="14"/>
      <c r="B18" s="14"/>
      <c r="C18" s="14"/>
      <c r="D18" s="14"/>
      <c r="E18" s="14"/>
      <c r="F18" s="14"/>
      <c r="G18" s="14"/>
      <c r="H18" s="24" t="str">
        <f t="shared" si="0"/>
        <v/>
      </c>
      <c r="I18" s="14" t="str">
        <f t="shared" si="1"/>
        <v/>
      </c>
      <c r="J18" s="15"/>
    </row>
    <row r="19" spans="1:10">
      <c r="A19" s="9"/>
      <c r="B19" s="9"/>
      <c r="C19" s="9"/>
      <c r="D19" s="9"/>
      <c r="E19" s="9"/>
      <c r="F19" s="9"/>
      <c r="G19" s="9"/>
      <c r="H19" s="25" t="str">
        <f t="shared" si="0"/>
        <v/>
      </c>
      <c r="I19" s="9" t="str">
        <f t="shared" si="1"/>
        <v/>
      </c>
      <c r="J19" s="10"/>
    </row>
    <row r="20" spans="1:10">
      <c r="A20" s="14"/>
      <c r="B20" s="14"/>
      <c r="C20" s="14"/>
      <c r="D20" s="14"/>
      <c r="E20" s="14"/>
      <c r="F20" s="14"/>
      <c r="G20" s="14"/>
      <c r="H20" s="24" t="str">
        <f t="shared" si="0"/>
        <v/>
      </c>
      <c r="I20" s="14" t="str">
        <f t="shared" si="1"/>
        <v/>
      </c>
      <c r="J20" s="15"/>
    </row>
    <row r="21" spans="1:10">
      <c r="A21" s="9"/>
      <c r="B21" s="9"/>
      <c r="C21" s="9"/>
      <c r="D21" s="9"/>
      <c r="E21" s="9"/>
      <c r="F21" s="9"/>
      <c r="G21" s="9"/>
      <c r="H21" s="25" t="str">
        <f t="shared" si="0"/>
        <v/>
      </c>
      <c r="I21" s="9" t="str">
        <f t="shared" si="1"/>
        <v/>
      </c>
      <c r="J21" s="10"/>
    </row>
    <row r="22" spans="1:10">
      <c r="A22" s="14"/>
      <c r="B22" s="14"/>
      <c r="C22" s="14"/>
      <c r="D22" s="14"/>
      <c r="E22" s="14"/>
      <c r="F22" s="14"/>
      <c r="G22" s="14"/>
      <c r="H22" s="24" t="str">
        <f t="shared" si="0"/>
        <v/>
      </c>
      <c r="I22" s="14" t="str">
        <f t="shared" si="1"/>
        <v/>
      </c>
      <c r="J22" s="15"/>
    </row>
    <row r="23" spans="1:10">
      <c r="A23" s="9"/>
      <c r="B23" s="9"/>
      <c r="C23" s="9"/>
      <c r="D23" s="9"/>
      <c r="E23" s="9"/>
      <c r="F23" s="9"/>
      <c r="G23" s="9"/>
      <c r="H23" s="25" t="str">
        <f t="shared" si="0"/>
        <v/>
      </c>
      <c r="I23" s="9" t="str">
        <f t="shared" si="1"/>
        <v/>
      </c>
      <c r="J23" s="10"/>
    </row>
    <row r="24" spans="1:10">
      <c r="A24" s="14"/>
      <c r="B24" s="14"/>
      <c r="C24" s="14"/>
      <c r="D24" s="14"/>
      <c r="E24" s="14"/>
      <c r="F24" s="14"/>
      <c r="G24" s="14"/>
      <c r="H24" s="24" t="str">
        <f t="shared" si="0"/>
        <v/>
      </c>
      <c r="I24" s="14" t="str">
        <f t="shared" si="1"/>
        <v/>
      </c>
      <c r="J24" s="15"/>
    </row>
    <row r="25" spans="1:10">
      <c r="A25" s="9"/>
      <c r="B25" s="9"/>
      <c r="C25" s="9"/>
      <c r="D25" s="9"/>
      <c r="E25" s="9"/>
      <c r="F25" s="9"/>
      <c r="G25" s="9"/>
      <c r="H25" s="25" t="str">
        <f t="shared" si="0"/>
        <v/>
      </c>
      <c r="I25" s="9" t="str">
        <f t="shared" si="1"/>
        <v/>
      </c>
      <c r="J25" s="10"/>
    </row>
    <row r="26" spans="1:10">
      <c r="A26" s="14"/>
      <c r="B26" s="14"/>
      <c r="C26" s="14"/>
      <c r="D26" s="14"/>
      <c r="E26" s="14"/>
      <c r="F26" s="14"/>
      <c r="G26" s="14"/>
      <c r="H26" s="24" t="str">
        <f t="shared" si="0"/>
        <v/>
      </c>
      <c r="I26" s="14" t="str">
        <f t="shared" si="1"/>
        <v/>
      </c>
      <c r="J26" s="15"/>
    </row>
    <row r="27" spans="1:10">
      <c r="A27" s="9"/>
      <c r="B27" s="9"/>
      <c r="C27" s="9"/>
      <c r="D27" s="9"/>
      <c r="E27" s="9"/>
      <c r="F27" s="9"/>
      <c r="G27" s="9"/>
      <c r="H27" s="25" t="str">
        <f t="shared" si="0"/>
        <v/>
      </c>
      <c r="I27" s="9" t="str">
        <f t="shared" si="1"/>
        <v/>
      </c>
      <c r="J27" s="10"/>
    </row>
    <row r="28" spans="1:10">
      <c r="A28" s="14"/>
      <c r="B28" s="14"/>
      <c r="C28" s="14"/>
      <c r="D28" s="14"/>
      <c r="E28" s="14"/>
      <c r="F28" s="14"/>
      <c r="G28" s="14"/>
      <c r="H28" s="24" t="str">
        <f t="shared" si="0"/>
        <v/>
      </c>
      <c r="I28" s="14" t="str">
        <f t="shared" si="1"/>
        <v/>
      </c>
      <c r="J28" s="15"/>
    </row>
    <row r="29" spans="1:10">
      <c r="A29" s="9"/>
      <c r="B29" s="9"/>
      <c r="C29" s="9"/>
      <c r="D29" s="9"/>
      <c r="E29" s="9"/>
      <c r="F29" s="9"/>
      <c r="G29" s="9"/>
      <c r="H29" s="25" t="str">
        <f t="shared" si="0"/>
        <v/>
      </c>
      <c r="I29" s="9" t="str">
        <f t="shared" si="1"/>
        <v/>
      </c>
      <c r="J29" s="10"/>
    </row>
    <row r="30" spans="1:10">
      <c r="A30" s="14"/>
      <c r="B30" s="14"/>
      <c r="C30" s="14"/>
      <c r="D30" s="14"/>
      <c r="E30" s="14"/>
      <c r="F30" s="14"/>
      <c r="G30" s="14"/>
      <c r="H30" s="24" t="str">
        <f t="shared" si="0"/>
        <v/>
      </c>
      <c r="I30" s="14" t="str">
        <f t="shared" si="1"/>
        <v/>
      </c>
      <c r="J30" s="15"/>
    </row>
    <row r="31" spans="1:10">
      <c r="A31" s="9"/>
      <c r="B31" s="9"/>
      <c r="C31" s="9"/>
      <c r="D31" s="9"/>
      <c r="E31" s="9"/>
      <c r="F31" s="9"/>
      <c r="G31" s="9"/>
      <c r="H31" s="25" t="str">
        <f t="shared" si="0"/>
        <v/>
      </c>
      <c r="I31" s="9" t="str">
        <f t="shared" si="1"/>
        <v/>
      </c>
      <c r="J31" s="10"/>
    </row>
    <row r="32" spans="1:10">
      <c r="A32" s="14"/>
      <c r="B32" s="14"/>
      <c r="C32" s="14"/>
      <c r="D32" s="14"/>
      <c r="E32" s="14"/>
      <c r="F32" s="14"/>
      <c r="G32" s="14"/>
      <c r="H32" s="24" t="str">
        <f t="shared" si="0"/>
        <v/>
      </c>
      <c r="I32" s="14" t="str">
        <f t="shared" si="1"/>
        <v/>
      </c>
      <c r="J32" s="15"/>
    </row>
    <row r="33" spans="1:10">
      <c r="A33" s="9"/>
      <c r="B33" s="9"/>
      <c r="C33" s="9"/>
      <c r="D33" s="9"/>
      <c r="E33" s="9"/>
      <c r="F33" s="9"/>
      <c r="G33" s="9"/>
      <c r="H33" s="25" t="str">
        <f t="shared" si="0"/>
        <v/>
      </c>
      <c r="I33" s="9" t="str">
        <f t="shared" si="1"/>
        <v/>
      </c>
      <c r="J33" s="10"/>
    </row>
    <row r="34" spans="1:10">
      <c r="A34" s="14"/>
      <c r="B34" s="14"/>
      <c r="C34" s="14"/>
      <c r="D34" s="14"/>
      <c r="E34" s="14"/>
      <c r="F34" s="14"/>
      <c r="G34" s="14"/>
      <c r="H34" s="24" t="str">
        <f t="shared" si="0"/>
        <v/>
      </c>
      <c r="I34" s="14" t="str">
        <f t="shared" si="1"/>
        <v/>
      </c>
      <c r="J34" s="15"/>
    </row>
    <row r="35" spans="1:10">
      <c r="A35" s="9"/>
      <c r="B35" s="9"/>
      <c r="C35" s="9"/>
      <c r="D35" s="9"/>
      <c r="E35" s="9"/>
      <c r="F35" s="9"/>
      <c r="G35" s="9"/>
      <c r="H35" s="25" t="str">
        <f t="shared" si="0"/>
        <v/>
      </c>
      <c r="I35" s="9" t="str">
        <f t="shared" si="1"/>
        <v/>
      </c>
      <c r="J35" s="10"/>
    </row>
    <row r="36" spans="1:10">
      <c r="A36" s="14"/>
      <c r="B36" s="14"/>
      <c r="C36" s="14"/>
      <c r="D36" s="14"/>
      <c r="E36" s="14"/>
      <c r="F36" s="14"/>
      <c r="G36" s="14"/>
      <c r="H36" s="24" t="str">
        <f t="shared" ref="H36:H53" si="2">IF(OR(C36="",E36="",E36=0),"",ROUND(C36/E36,1))</f>
        <v/>
      </c>
      <c r="I36" s="14" t="str">
        <f t="shared" ref="I36:I53" si="3">IF(F36="","",IF(F36=0,"★블루오션",IF(F36&lt;=2,"유망","경쟁있음")))</f>
        <v/>
      </c>
      <c r="J36" s="15"/>
    </row>
    <row r="37" spans="1:10">
      <c r="A37" s="9"/>
      <c r="B37" s="9"/>
      <c r="C37" s="9"/>
      <c r="D37" s="9"/>
      <c r="E37" s="9"/>
      <c r="F37" s="9"/>
      <c r="G37" s="9"/>
      <c r="H37" s="25" t="str">
        <f t="shared" si="2"/>
        <v/>
      </c>
      <c r="I37" s="9" t="str">
        <f t="shared" si="3"/>
        <v/>
      </c>
      <c r="J37" s="10"/>
    </row>
    <row r="38" spans="1:10">
      <c r="A38" s="14"/>
      <c r="B38" s="14"/>
      <c r="C38" s="14"/>
      <c r="D38" s="14"/>
      <c r="E38" s="14"/>
      <c r="F38" s="14"/>
      <c r="G38" s="14"/>
      <c r="H38" s="24" t="str">
        <f t="shared" si="2"/>
        <v/>
      </c>
      <c r="I38" s="14" t="str">
        <f t="shared" si="3"/>
        <v/>
      </c>
      <c r="J38" s="15"/>
    </row>
    <row r="39" spans="1:10">
      <c r="A39" s="9"/>
      <c r="B39" s="9"/>
      <c r="C39" s="9"/>
      <c r="D39" s="9"/>
      <c r="E39" s="9"/>
      <c r="F39" s="9"/>
      <c r="G39" s="9"/>
      <c r="H39" s="25" t="str">
        <f t="shared" si="2"/>
        <v/>
      </c>
      <c r="I39" s="9" t="str">
        <f t="shared" si="3"/>
        <v/>
      </c>
      <c r="J39" s="10"/>
    </row>
    <row r="40" spans="1:10">
      <c r="A40" s="14"/>
      <c r="B40" s="14"/>
      <c r="C40" s="14"/>
      <c r="D40" s="14"/>
      <c r="E40" s="14"/>
      <c r="F40" s="14"/>
      <c r="G40" s="14"/>
      <c r="H40" s="24" t="str">
        <f t="shared" si="2"/>
        <v/>
      </c>
      <c r="I40" s="14" t="str">
        <f t="shared" si="3"/>
        <v/>
      </c>
      <c r="J40" s="15"/>
    </row>
    <row r="41" spans="1:10">
      <c r="A41" s="9"/>
      <c r="B41" s="9"/>
      <c r="C41" s="9"/>
      <c r="D41" s="9"/>
      <c r="E41" s="9"/>
      <c r="F41" s="9"/>
      <c r="G41" s="9"/>
      <c r="H41" s="25" t="str">
        <f t="shared" si="2"/>
        <v/>
      </c>
      <c r="I41" s="9" t="str">
        <f t="shared" si="3"/>
        <v/>
      </c>
      <c r="J41" s="10"/>
    </row>
    <row r="42" spans="1:10">
      <c r="A42" s="14"/>
      <c r="B42" s="14"/>
      <c r="C42" s="14"/>
      <c r="D42" s="14"/>
      <c r="E42" s="14"/>
      <c r="F42" s="14"/>
      <c r="G42" s="14"/>
      <c r="H42" s="24" t="str">
        <f t="shared" si="2"/>
        <v/>
      </c>
      <c r="I42" s="14" t="str">
        <f t="shared" si="3"/>
        <v/>
      </c>
      <c r="J42" s="15"/>
    </row>
    <row r="43" spans="1:10">
      <c r="A43" s="9"/>
      <c r="B43" s="9"/>
      <c r="C43" s="9"/>
      <c r="D43" s="9"/>
      <c r="E43" s="9"/>
      <c r="F43" s="9"/>
      <c r="G43" s="9"/>
      <c r="H43" s="25" t="str">
        <f t="shared" si="2"/>
        <v/>
      </c>
      <c r="I43" s="9" t="str">
        <f t="shared" si="3"/>
        <v/>
      </c>
      <c r="J43" s="10"/>
    </row>
    <row r="44" spans="1:10">
      <c r="A44" s="14"/>
      <c r="B44" s="14"/>
      <c r="C44" s="14"/>
      <c r="D44" s="14"/>
      <c r="E44" s="14"/>
      <c r="F44" s="14"/>
      <c r="G44" s="14"/>
      <c r="H44" s="24" t="str">
        <f t="shared" si="2"/>
        <v/>
      </c>
      <c r="I44" s="14" t="str">
        <f t="shared" si="3"/>
        <v/>
      </c>
      <c r="J44" s="15"/>
    </row>
    <row r="45" spans="1:10">
      <c r="A45" s="9"/>
      <c r="B45" s="9"/>
      <c r="C45" s="9"/>
      <c r="D45" s="9"/>
      <c r="E45" s="9"/>
      <c r="F45" s="9"/>
      <c r="G45" s="9"/>
      <c r="H45" s="25" t="str">
        <f t="shared" si="2"/>
        <v/>
      </c>
      <c r="I45" s="9" t="str">
        <f t="shared" si="3"/>
        <v/>
      </c>
      <c r="J45" s="10"/>
    </row>
    <row r="46" spans="1:10">
      <c r="A46" s="14"/>
      <c r="B46" s="14"/>
      <c r="C46" s="14"/>
      <c r="D46" s="14"/>
      <c r="E46" s="14"/>
      <c r="F46" s="14"/>
      <c r="G46" s="14"/>
      <c r="H46" s="24" t="str">
        <f t="shared" si="2"/>
        <v/>
      </c>
      <c r="I46" s="14" t="str">
        <f t="shared" si="3"/>
        <v/>
      </c>
      <c r="J46" s="15"/>
    </row>
    <row r="47" spans="1:10">
      <c r="A47" s="9"/>
      <c r="B47" s="9"/>
      <c r="C47" s="9"/>
      <c r="D47" s="9"/>
      <c r="E47" s="9"/>
      <c r="F47" s="9"/>
      <c r="G47" s="9"/>
      <c r="H47" s="25" t="str">
        <f t="shared" si="2"/>
        <v/>
      </c>
      <c r="I47" s="9" t="str">
        <f t="shared" si="3"/>
        <v/>
      </c>
      <c r="J47" s="10"/>
    </row>
    <row r="48" spans="1:10">
      <c r="A48" s="14"/>
      <c r="B48" s="14"/>
      <c r="C48" s="14"/>
      <c r="D48" s="14"/>
      <c r="E48" s="14"/>
      <c r="F48" s="14"/>
      <c r="G48" s="14"/>
      <c r="H48" s="24" t="str">
        <f t="shared" si="2"/>
        <v/>
      </c>
      <c r="I48" s="14" t="str">
        <f t="shared" si="3"/>
        <v/>
      </c>
      <c r="J48" s="15"/>
    </row>
    <row r="49" spans="1:10">
      <c r="A49" s="9"/>
      <c r="B49" s="9"/>
      <c r="C49" s="9"/>
      <c r="D49" s="9"/>
      <c r="E49" s="9"/>
      <c r="F49" s="9"/>
      <c r="G49" s="9"/>
      <c r="H49" s="25" t="str">
        <f t="shared" si="2"/>
        <v/>
      </c>
      <c r="I49" s="9" t="str">
        <f t="shared" si="3"/>
        <v/>
      </c>
      <c r="J49" s="10"/>
    </row>
    <row r="50" spans="1:10">
      <c r="A50" s="14"/>
      <c r="B50" s="14"/>
      <c r="C50" s="14"/>
      <c r="D50" s="14"/>
      <c r="E50" s="14"/>
      <c r="F50" s="14"/>
      <c r="G50" s="14"/>
      <c r="H50" s="24" t="str">
        <f t="shared" si="2"/>
        <v/>
      </c>
      <c r="I50" s="14" t="str">
        <f t="shared" si="3"/>
        <v/>
      </c>
      <c r="J50" s="15"/>
    </row>
    <row r="51" spans="1:10">
      <c r="A51" s="9"/>
      <c r="B51" s="9"/>
      <c r="C51" s="9"/>
      <c r="D51" s="9"/>
      <c r="E51" s="9"/>
      <c r="F51" s="9"/>
      <c r="G51" s="9"/>
      <c r="H51" s="25" t="str">
        <f t="shared" si="2"/>
        <v/>
      </c>
      <c r="I51" s="9" t="str">
        <f t="shared" si="3"/>
        <v/>
      </c>
      <c r="J51" s="10"/>
    </row>
    <row r="52" spans="1:10">
      <c r="A52" s="14"/>
      <c r="B52" s="14"/>
      <c r="C52" s="14"/>
      <c r="D52" s="14"/>
      <c r="E52" s="14"/>
      <c r="F52" s="14"/>
      <c r="G52" s="14"/>
      <c r="H52" s="24" t="str">
        <f t="shared" si="2"/>
        <v/>
      </c>
      <c r="I52" s="14" t="str">
        <f t="shared" si="3"/>
        <v/>
      </c>
      <c r="J52" s="15"/>
    </row>
    <row r="53" spans="1:10">
      <c r="A53" s="9"/>
      <c r="B53" s="9"/>
      <c r="C53" s="9"/>
      <c r="D53" s="9"/>
      <c r="E53" s="9"/>
      <c r="F53" s="9"/>
      <c r="G53" s="9"/>
      <c r="H53" s="25" t="str">
        <f t="shared" si="2"/>
        <v/>
      </c>
      <c r="I53" s="9" t="str">
        <f t="shared" si="3"/>
        <v/>
      </c>
      <c r="J53" s="10"/>
    </row>
  </sheetData>
  <mergeCells count="2">
    <mergeCell ref="A1:J1"/>
    <mergeCell ref="A2:J2"/>
  </mergeCells>
  <phoneticPr fontId="20" type="noConversion"/>
  <conditionalFormatting sqref="I4:I53">
    <cfRule type="cellIs" dxfId="1" priority="2" operator="equal">
      <formula>"★블루오션"</formula>
    </cfRule>
    <cfRule type="cellIs" dxfId="0" priority="3" operator="equal">
      <formula>"유망"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B2:B36"/>
  <sheetViews>
    <sheetView zoomScaleNormal="100" workbookViewId="0"/>
  </sheetViews>
  <sheetFormatPr defaultColWidth="8.7109375" defaultRowHeight="15"/>
  <cols>
    <col min="1" max="1" width="3" customWidth="1"/>
    <col min="2" max="2" width="80" customWidth="1"/>
  </cols>
  <sheetData>
    <row r="2" spans="2:2" ht="15.75">
      <c r="B2" s="26" t="s">
        <v>127</v>
      </c>
    </row>
    <row r="3" spans="2:2">
      <c r="B3" s="27" t="s">
        <v>128</v>
      </c>
    </row>
    <row r="4" spans="2:2">
      <c r="B4" s="27" t="s">
        <v>129</v>
      </c>
    </row>
    <row r="6" spans="2:2" ht="15.75">
      <c r="B6" s="26" t="s">
        <v>130</v>
      </c>
    </row>
    <row r="7" spans="2:2">
      <c r="B7" s="28" t="s">
        <v>131</v>
      </c>
    </row>
    <row r="8" spans="2:2">
      <c r="B8" s="28" t="s">
        <v>132</v>
      </c>
    </row>
    <row r="9" spans="2:2">
      <c r="B9" s="28" t="s">
        <v>133</v>
      </c>
    </row>
    <row r="10" spans="2:2">
      <c r="B10" s="28" t="s">
        <v>134</v>
      </c>
    </row>
    <row r="11" spans="2:2">
      <c r="B11" s="28" t="s">
        <v>135</v>
      </c>
    </row>
    <row r="13" spans="2:2" ht="15.75">
      <c r="B13" s="26" t="s">
        <v>136</v>
      </c>
    </row>
    <row r="14" spans="2:2">
      <c r="B14" s="28" t="s">
        <v>137</v>
      </c>
    </row>
    <row r="15" spans="2:2">
      <c r="B15" s="27" t="s">
        <v>138</v>
      </c>
    </row>
    <row r="17" spans="2:2">
      <c r="B17" s="28" t="s">
        <v>139</v>
      </c>
    </row>
    <row r="18" spans="2:2">
      <c r="B18" s="27" t="s">
        <v>140</v>
      </c>
    </row>
    <row r="20" spans="2:2">
      <c r="B20" s="28" t="s">
        <v>141</v>
      </c>
    </row>
    <row r="22" spans="2:2">
      <c r="B22" s="28" t="s">
        <v>142</v>
      </c>
    </row>
    <row r="23" spans="2:2">
      <c r="B23" s="27" t="s">
        <v>143</v>
      </c>
    </row>
    <row r="25" spans="2:2" ht="15.75">
      <c r="B25" s="26" t="s">
        <v>144</v>
      </c>
    </row>
    <row r="26" spans="2:2">
      <c r="B26" s="28" t="s">
        <v>145</v>
      </c>
    </row>
    <row r="27" spans="2:2">
      <c r="B27" s="28" t="s">
        <v>146</v>
      </c>
    </row>
    <row r="28" spans="2:2">
      <c r="B28" s="28" t="s">
        <v>147</v>
      </c>
    </row>
    <row r="29" spans="2:2">
      <c r="B29" s="28" t="s">
        <v>148</v>
      </c>
    </row>
    <row r="31" spans="2:2" ht="15.75">
      <c r="B31" s="26" t="s">
        <v>149</v>
      </c>
    </row>
    <row r="32" spans="2:2">
      <c r="B32" s="28" t="s">
        <v>150</v>
      </c>
    </row>
    <row r="33" spans="2:2">
      <c r="B33" s="28" t="s">
        <v>151</v>
      </c>
    </row>
    <row r="35" spans="2:2">
      <c r="B35" s="28" t="s">
        <v>152</v>
      </c>
    </row>
    <row r="36" spans="2:2">
      <c r="B36" s="28" t="s">
        <v>153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고객사 스크리닝</vt:lpstr>
      <vt:lpstr>업종별 전략카드</vt:lpstr>
      <vt:lpstr>지역분석 템플릿</vt:lpstr>
      <vt:lpstr>작성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강지현</cp:lastModifiedBy>
  <cp:revision>0</cp:revision>
  <dcterms:created xsi:type="dcterms:W3CDTF">2026-02-09T00:44:22Z</dcterms:created>
  <dcterms:modified xsi:type="dcterms:W3CDTF">2026-02-09T01:29:21Z</dcterms:modified>
  <dc:language>en-US</dc:language>
</cp:coreProperties>
</file>